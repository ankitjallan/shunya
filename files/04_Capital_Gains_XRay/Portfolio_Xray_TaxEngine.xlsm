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evelopments\VBA\dist\"/>
    </mc:Choice>
  </mc:AlternateContent>
  <xr:revisionPtr revIDLastSave="0" documentId="8_{50148FB2-5FC1-439E-B28D-07DC167CF9AE}" xr6:coauthVersionLast="47" xr6:coauthVersionMax="47" xr10:uidLastSave="{00000000-0000-0000-0000-000000000000}"/>
  <bookViews>
    <workbookView xWindow="-108" yWindow="-108" windowWidth="23256" windowHeight="12456" xr2:uid="{4FF8E7DC-933A-45B0-A142-3E47F43F6CB1}"/>
  </bookViews>
  <sheets>
    <sheet name="Home" sheetId="1" r:id="rId1"/>
    <sheet name="XRay" sheetId="2" r:id="rId2"/>
    <sheet name="CG_Summary" sheetId="3" r:id="rId3"/>
    <sheet name="Tradebook" sheetId="4" r:id="rId4"/>
    <sheet name="Prices" sheetId="5" r:id="rId5"/>
    <sheet name="CG_Lots" sheetId="6" r:id="rId6"/>
    <sheet name="Holdings" sheetId="7" r:id="rId7"/>
    <sheet name="Tax Rules" sheetId="8" r:id="rId8"/>
    <sheet name="Settings" sheetId="9" r:id="rId9"/>
    <sheet name="_Data" sheetId="10" state="veryHidden" r:id="rId10"/>
    <sheet name="_AICache" sheetId="11" state="veryHidden" r:id="rId11"/>
    <sheet name="_Sample" sheetId="12" state="veryHidden" r:id="rId12"/>
  </sheets>
  <functionGroups builtInGroupCount="19"/>
  <definedNames>
    <definedName name="_xlpm.h" hidden="1" xlm="1">#NAME?</definedName>
    <definedName name="cg_FY">CG_Summary!$C$3</definedName>
    <definedName name="st_AIMode">Settings!$B$9</definedName>
    <definedName name="st_AIModel">Settings!$B$8</definedName>
    <definedName name="st_APIKey">Settings!$B$7</definedName>
    <definedName name="st_ConcLimit">Settings!$B$5</definedName>
    <definedName name="st_PriceSource">Settings!$B$4</definedName>
    <definedName name="st_SectorLimit">Settings!$B$6</definedName>
    <definedName name="tr_Cess">'Tax Rules'!$B$18</definedName>
    <definedName name="tr_Exemption">'Tax Rules'!$B$13</definedName>
    <definedName name="tr_ExemptionOld">'Tax Rules'!$B$14</definedName>
    <definedName name="tr_GFDate">'Tax Rules'!$B$15</definedName>
    <definedName name="tr_LTCGNew">'Tax Rules'!$B$11</definedName>
    <definedName name="tr_LTCGOld">'Tax Rules'!$B$10</definedName>
    <definedName name="tr_LTCGOther">'Tax Rules'!$B$12</definedName>
    <definedName name="tr_LTMonthsEquity">'Tax Rules'!$B$5</definedName>
    <definedName name="tr_LTMonthsOther">'Tax Rules'!$B$6</definedName>
    <definedName name="tr_RateChangeDate">'Tax Rules'!$B$7</definedName>
    <definedName name="tr_SlabRate">'Tax Rules'!$B$17</definedName>
    <definedName name="tr_SpecifiedMFDate">'Tax Rules'!$B$16</definedName>
    <definedName name="tr_STCGNew">'Tax Rules'!$B$9</definedName>
    <definedName name="tr_STCGOld">'Tax Rules'!$B$8</definedName>
    <definedName name="xr_PortfolioXIRR">XRay!$N$1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G13" i="3" l="1"/>
  <c r="E13" i="3"/>
  <c r="D13" i="3"/>
  <c r="C13" i="3"/>
  <c r="C12" i="3"/>
  <c r="C11" i="3"/>
  <c r="C10" i="3"/>
  <c r="C9" i="3"/>
  <c r="C8" i="3"/>
  <c r="C7" i="3"/>
  <c r="E23" i="5" a="1"/>
  <c r="F23" i="5" s="1"/>
  <c r="E22" i="5" a="1"/>
  <c r="F22" i="5" s="1"/>
  <c r="E21" i="5" a="1"/>
  <c r="F21" i="5" s="1"/>
  <c r="E20" i="5" a="1"/>
  <c r="F20" i="5" s="1"/>
  <c r="E19" i="5" a="1"/>
  <c r="F19" i="5" s="1"/>
  <c r="E18" i="5" a="1"/>
  <c r="F18" i="5" s="1"/>
  <c r="E17" i="5" a="1"/>
  <c r="F17" i="5" s="1"/>
  <c r="E16" i="5" a="1"/>
  <c r="F16" i="5" s="1"/>
  <c r="E15" i="5" a="1"/>
  <c r="F15" i="5" s="1"/>
  <c r="E14" i="5" a="1"/>
  <c r="F14" i="5" s="1"/>
  <c r="E13" i="5" a="1"/>
  <c r="F13" i="5" s="1"/>
  <c r="E12" i="5" a="1"/>
  <c r="F12" i="5" s="1"/>
  <c r="E11" i="5" a="1"/>
  <c r="F11" i="5" s="1"/>
  <c r="E10" i="5" a="1"/>
  <c r="F10" i="5" s="1"/>
  <c r="E9" i="5" a="1"/>
  <c r="F9" i="5" s="1"/>
  <c r="E8" i="5" a="1"/>
  <c r="F8" i="5" s="1"/>
  <c r="E7" i="5" a="1"/>
  <c r="F7" i="5" s="1"/>
  <c r="E6" i="5" a="1"/>
  <c r="F6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<sst xmlns="http://schemas.openxmlformats.org/spreadsheetml/2006/main" count="907" uniqueCount="261">
  <si>
    <t>Date</t>
  </si>
  <si>
    <t>Symbol</t>
  </si>
  <si>
    <t>Type</t>
  </si>
  <si>
    <t>Side</t>
  </si>
  <si>
    <t>Qty</t>
  </si>
  <si>
    <t>Price</t>
  </si>
  <si>
    <t>Charges</t>
  </si>
  <si>
    <t>FMV 31-Jan-2018</t>
  </si>
  <si>
    <t>Notes</t>
  </si>
  <si>
    <t>10-01-2017</t>
  </si>
  <si>
    <t>RELIANCE</t>
  </si>
  <si>
    <t>Equity</t>
  </si>
  <si>
    <t>BUY</t>
  </si>
  <si>
    <t>Split-adjusted</t>
  </si>
  <si>
    <t>15-03-2017</t>
  </si>
  <si>
    <t>TCS</t>
  </si>
  <si>
    <t>05-06-2017</t>
  </si>
  <si>
    <t>ITC</t>
  </si>
  <si>
    <t>20-07-2018</t>
  </si>
  <si>
    <t>HDFCBANK</t>
  </si>
  <si>
    <t>12-03-2019</t>
  </si>
  <si>
    <t>INFY</t>
  </si>
  <si>
    <t>10-04-2019</t>
  </si>
  <si>
    <t>PPFASFLEXI</t>
  </si>
  <si>
    <t>Equity MF</t>
  </si>
  <si>
    <t>Flexi cap fund units</t>
  </si>
  <si>
    <t>25-03-2020</t>
  </si>
  <si>
    <t>SBIN</t>
  </si>
  <si>
    <t>Covid low</t>
  </si>
  <si>
    <t>18-08-2020</t>
  </si>
  <si>
    <t>LT</t>
  </si>
  <si>
    <t>10-02-2021</t>
  </si>
  <si>
    <t>TITAN</t>
  </si>
  <si>
    <t>15-10-2021</t>
  </si>
  <si>
    <t>ASIANPAINT</t>
  </si>
  <si>
    <t>09-05-2022</t>
  </si>
  <si>
    <t>SUNPHARMA</t>
  </si>
  <si>
    <t>14-11-2022</t>
  </si>
  <si>
    <t>TATAMOTORS</t>
  </si>
  <si>
    <t>03-01-2023</t>
  </si>
  <si>
    <t>BAJFINANCE</t>
  </si>
  <si>
    <t>12-06-2023</t>
  </si>
  <si>
    <t>15-06-2023</t>
  </si>
  <si>
    <t>HDFCCORPBOND</t>
  </si>
  <si>
    <t>Debt MF</t>
  </si>
  <si>
    <t>Specified MF (bought after 1-Apr-2023)</t>
  </si>
  <si>
    <t>22-02-2024</t>
  </si>
  <si>
    <t>15-09-2024</t>
  </si>
  <si>
    <t>SELL</t>
  </si>
  <si>
    <t>20-12-2024</t>
  </si>
  <si>
    <t>Grandfathered lot</t>
  </si>
  <si>
    <t>10-01-2025</t>
  </si>
  <si>
    <t>10-03-2025</t>
  </si>
  <si>
    <t>05-05-2025</t>
  </si>
  <si>
    <t>20-06-2025</t>
  </si>
  <si>
    <t>15-01-2026</t>
  </si>
  <si>
    <t>10-02-2026</t>
  </si>
  <si>
    <t>15-03-2026</t>
  </si>
  <si>
    <t>05-04-2026</t>
  </si>
  <si>
    <t>IRFC</t>
  </si>
  <si>
    <t>10-04-2026</t>
  </si>
  <si>
    <t>15-05-2026</t>
  </si>
  <si>
    <t>DMART</t>
  </si>
  <si>
    <t>20-05-2026</t>
  </si>
  <si>
    <t>05-06-2026</t>
  </si>
  <si>
    <t>ZOMATO</t>
  </si>
  <si>
    <t>18-06-2026</t>
  </si>
  <si>
    <t>01-07-2026</t>
  </si>
  <si>
    <t>10-07-2026</t>
  </si>
  <si>
    <t>25-07-2026</t>
  </si>
  <si>
    <t>01-08-2026</t>
  </si>
  <si>
    <t>ADANIPORTS</t>
  </si>
  <si>
    <t>12-08-2026</t>
  </si>
  <si>
    <t>20-08-2026</t>
  </si>
  <si>
    <t>28-08-2026</t>
  </si>
  <si>
    <t>01-09-2026</t>
  </si>
  <si>
    <t>08-09-2026</t>
  </si>
  <si>
    <t>15-09-2026</t>
  </si>
  <si>
    <t>22-09-2026</t>
  </si>
  <si>
    <t>05-10-2026</t>
  </si>
  <si>
    <t>Name</t>
  </si>
  <si>
    <t>Sector</t>
  </si>
  <si>
    <t>Demo Price</t>
  </si>
  <si>
    <t>Reliance Industries</t>
  </si>
  <si>
    <t>Energy</t>
  </si>
  <si>
    <t>Tata Consultancy Services</t>
  </si>
  <si>
    <t>IT</t>
  </si>
  <si>
    <t>HDFC Bank</t>
  </si>
  <si>
    <t>Banks</t>
  </si>
  <si>
    <t>Infosys</t>
  </si>
  <si>
    <t>FMCG</t>
  </si>
  <si>
    <t>Larsen &amp; Toubro</t>
  </si>
  <si>
    <t>Capital Goods</t>
  </si>
  <si>
    <t>State Bank of India</t>
  </si>
  <si>
    <t>Bajaj Finance</t>
  </si>
  <si>
    <t>NBFC</t>
  </si>
  <si>
    <t>Titan Company</t>
  </si>
  <si>
    <t>Consumer</t>
  </si>
  <si>
    <t>Asian Paints</t>
  </si>
  <si>
    <t>Sun Pharmaceutical</t>
  </si>
  <si>
    <t>Pharma</t>
  </si>
  <si>
    <t>Tata Motors</t>
  </si>
  <si>
    <t>Auto</t>
  </si>
  <si>
    <t>Indian Railway Finance Corp</t>
  </si>
  <si>
    <t>Avenue Supermarts</t>
  </si>
  <si>
    <t>Retail</t>
  </si>
  <si>
    <t>Eternal (Zomato)</t>
  </si>
  <si>
    <t>Internet</t>
  </si>
  <si>
    <t>Adani Ports</t>
  </si>
  <si>
    <t>Infrastructure</t>
  </si>
  <si>
    <t>Parag Parikh Flexi Cap Fund</t>
  </si>
  <si>
    <t>Mutual Fund - Equity</t>
  </si>
  <si>
    <t>HDFC Corporate Bond Fund</t>
  </si>
  <si>
    <t>Mutual Fund - Debt</t>
  </si>
  <si>
    <t>Tax Rules</t>
  </si>
  <si>
    <t>Every rate, limit and date used by the engine. Change them here when the law changes - nothing is hard-coded. Verify for the year you compute.</t>
  </si>
  <si>
    <t>Rule</t>
  </si>
  <si>
    <t>Value</t>
  </si>
  <si>
    <t>Basis / note</t>
  </si>
  <si>
    <t>Long-term if held more than (months) - listed equity, equity MF, ETF</t>
  </si>
  <si>
    <t>Listed securities / equity-oriented units</t>
  </si>
  <si>
    <t>Long-term if held more than (months) - other assets</t>
  </si>
  <si>
    <t>Debt MF bought before 1-Apr-2023 and other assets</t>
  </si>
  <si>
    <t>New rates apply to transfers on or after</t>
  </si>
  <si>
    <t>Finance (No. 2) Act, 2024</t>
  </si>
  <si>
    <t>STCG on equity (STT paid) - before the change date</t>
  </si>
  <si>
    <t>Section 111A</t>
  </si>
  <si>
    <t>STCG on equity (STT paid) - on / after the change date</t>
  </si>
  <si>
    <t>LTCG on equity - before the change date</t>
  </si>
  <si>
    <t>Section 112A</t>
  </si>
  <si>
    <t>LTCG on equity - on / after the change date</t>
  </si>
  <si>
    <t>LTCG on other assets (no indexation)</t>
  </si>
  <si>
    <t>Section 112</t>
  </si>
  <si>
    <t>112A exemption per year - FY 2024-25 onwards</t>
  </si>
  <si>
    <t>Rs 1.25 lakh</t>
  </si>
  <si>
    <t>112A exemption per year - up to FY 2023-24</t>
  </si>
  <si>
    <t>Rs 1 lakh</t>
  </si>
  <si>
    <t>Grandfathering: acquired on or before</t>
  </si>
  <si>
    <t>Cost = higher of actual cost and lower of FMV on 31-Jan-2018 and sale price</t>
  </si>
  <si>
    <t>Debt MF bought on / after this date: always slab rate</t>
  </si>
  <si>
    <t>Specified mutual fund (section 50AA)</t>
  </si>
  <si>
    <t>Assumed slab rate for slab-rate gains</t>
  </si>
  <si>
    <t>Change to the client's marginal rate</t>
  </si>
  <si>
    <t>Health &amp; education cess</t>
  </si>
  <si>
    <t>On tax</t>
  </si>
  <si>
    <t>Section numbers are those of the Income-tax Act, 1961. From 1-Apr-2026 the Income-tax Act, 2025 applies - map the heads accordingly and verify rates for the year.</t>
  </si>
  <si>
    <t>Settings</t>
  </si>
  <si>
    <t>Price source, portfolio limits and the AI key (kept in this file only - remove it before sharing the workbook).</t>
  </si>
  <si>
    <t>Price source</t>
  </si>
  <si>
    <t>Demo</t>
  </si>
  <si>
    <t>Demo = sample prices on the Prices sheet; Live = NSE prices via Excel STOCKHISTORY (Microsoft 365), demo price as fallback</t>
  </si>
  <si>
    <t>Single-stock concentration limit</t>
  </si>
  <si>
    <t>Holdings above this weight are flagged</t>
  </si>
  <si>
    <t>Sector concentration limit</t>
  </si>
  <si>
    <t>Sectors above this weight are flagged</t>
  </si>
  <si>
    <t>Claude API key</t>
  </si>
  <si>
    <t>Anthropic API key for the AI note. Remove before sending the file to anyone.</t>
  </si>
  <si>
    <t>Claude model</t>
  </si>
  <si>
    <t>claude-sonnet-5-5</t>
  </si>
  <si>
    <t>Model id</t>
  </si>
  <si>
    <t>AI mode</t>
  </si>
  <si>
    <t>Live+Cache</t>
  </si>
  <si>
    <t>Live+Cache = show the last saved answer if the internet fails; CacheOnly = never call out</t>
  </si>
  <si>
    <t>Tradebook</t>
  </si>
  <si>
    <t>Every buy and sell (dd-mm-yyyy). Charges = brokerage + STT + exchange + stamp + GST on the trade. FMV 31-Jan-2018 only for equity bought on or before that date.</t>
  </si>
  <si>
    <t>Prices &amp; Sectors</t>
  </si>
  <si>
    <t>Demo prices are sample values for the talk. Set Settings &gt; Price source = Live to use NSE prices (Excel STOCKHISTORY); funds and anything unavailable fall back to the demo price.</t>
  </si>
  <si>
    <t>Live Price (NSE)</t>
  </si>
  <si>
    <t>Price Used</t>
  </si>
  <si>
    <t>Capital Gains - lot by lot (FIFO)</t>
  </si>
  <si>
    <t>Each sale matched to the oldest purchase. Yellow cost = grandfathered (31-Jan-2018). Generated by Compute - do not edit.</t>
  </si>
  <si>
    <t>FY</t>
  </si>
  <si>
    <t>Sale Date</t>
  </si>
  <si>
    <t>Buy Date</t>
  </si>
  <si>
    <t>Buy Price</t>
  </si>
  <si>
    <t>FMV 31-Jan-18</t>
  </si>
  <si>
    <t>Cost / Unit Used</t>
  </si>
  <si>
    <t>Sale Price</t>
  </si>
  <si>
    <t>Days Held</t>
  </si>
  <si>
    <t>Term</t>
  </si>
  <si>
    <t>Bucket</t>
  </si>
  <si>
    <t>Cost of Acquisition</t>
  </si>
  <si>
    <t>Sale Value</t>
  </si>
  <si>
    <t>Expenses</t>
  </si>
  <si>
    <t>Gain / (Loss)</t>
  </si>
  <si>
    <t>Rate</t>
  </si>
  <si>
    <t>Open Lots</t>
  </si>
  <si>
    <t>What is still held, lot by lot, at the price used. Term and tax rate are as on today. Generated by Compute.</t>
  </si>
  <si>
    <t>Cost (incl. charges)</t>
  </si>
  <si>
    <t>Unrealised</t>
  </si>
  <si>
    <t>Term Today</t>
  </si>
  <si>
    <t>Long-term From</t>
  </si>
  <si>
    <t>Rate if Sold Today</t>
  </si>
  <si>
    <t>Capital Gains Summary &amp; Tax</t>
  </si>
  <si>
    <t>Gross gains by rate bucket (live SUMIFS on CG_Lots), set-off of losses, Rs 1.25 lakh exemption, tax and cess - then tax-saving ideas on open positions.</t>
  </si>
  <si>
    <t>Financial year</t>
  </si>
  <si>
    <t>Portfolio X-Ray</t>
  </si>
  <si>
    <t>Holding</t>
  </si>
  <si>
    <t>Unrealised P&amp;L</t>
  </si>
  <si>
    <t>Invested</t>
  </si>
  <si>
    <t>P&amp;L</t>
  </si>
  <si>
    <t>P&amp;L %</t>
  </si>
  <si>
    <t>Weight</t>
  </si>
  <si>
    <t>XIRR</t>
  </si>
  <si>
    <t>Red flags</t>
  </si>
  <si>
    <t>How it works</t>
  </si>
  <si>
    <t>- Put your trades on the Tradebook sheet (or Import Broker CSV - Zerodha-style tradebook), with charges and the 31-Jan-2018 FMV for old equity lots.</t>
  </si>
  <si>
    <t>- Compute matches every sale to the oldest purchase (FIFO), applies grandfathering, the 12-month / 24-month holding rules, the 23-Jul-2024 rate change and the specified-MF rule.</t>
  </si>
  <si>
    <t>- Capital Gains &amp; Tax sets off losses the way the law allows, applies the Rs 1.25 lakh 112A exemption, computes tax + cess and lists tax-saving ideas before 31 March.</t>
  </si>
  <si>
    <t>- Portfolio X-Ray values what you still hold: weights, sectors, XIRR, red flags (concentration, below cost, lots about to turn long-term).</t>
  </si>
  <si>
    <t>- AI Commentary sends only the numbers (no names, PAN or account numbers) to Claude for a plain-language note. Rates and dates live on the Tax Rules sheet - verify for the year.</t>
  </si>
  <si>
    <t>Educational tool for Chartered Accountants - not investment advice.</t>
  </si>
  <si>
    <t>2024-25</t>
  </si>
  <si>
    <t>Long-term</t>
  </si>
  <si>
    <t>112A-12.5</t>
  </si>
  <si>
    <t>2025-26</t>
  </si>
  <si>
    <t>2026-27</t>
  </si>
  <si>
    <t>Short-term</t>
  </si>
  <si>
    <t>111A-20</t>
  </si>
  <si>
    <t>Slab</t>
  </si>
  <si>
    <t>Head</t>
  </si>
  <si>
    <t>Gross gain / (loss)</t>
  </si>
  <si>
    <t>After set-off</t>
  </si>
  <si>
    <t>Taxable</t>
  </si>
  <si>
    <t>Tax</t>
  </si>
  <si>
    <t>STCG on equity (STT paid) u/s 111A @ 15% - transfers before 23-Jul-2024</t>
  </si>
  <si>
    <t>STCG on equity (STT paid) u/s 111A @ 20%</t>
  </si>
  <si>
    <t>STCG at slab rate (specified / debt MF, others)</t>
  </si>
  <si>
    <t>LTCG on equity u/s 112A @ 10% - transfers before 23-Jul-2024</t>
  </si>
  <si>
    <t>LTCG on equity u/s 112A @ 12.5%</t>
  </si>
  <si>
    <t>LTCG other (u/s 112) @ 12.5%</t>
  </si>
  <si>
    <t>Total</t>
  </si>
  <si>
    <t>Exemption on LTCG u/s 112A (limit Rs 1,25,000)</t>
  </si>
  <si>
    <t>Tax on capital gains</t>
  </si>
  <si>
    <t>Health &amp; education cess @ 4%</t>
  </si>
  <si>
    <t>TOTAL TAX ON CAPITAL GAINS (before surcharge)</t>
  </si>
  <si>
    <t>Before 31 March 2027: tax-saving ideas on open positions (FY 2026-27)</t>
  </si>
  <si>
    <t>Idea</t>
  </si>
  <si>
    <t>Symbol / lot</t>
  </si>
  <si>
    <t>Unrealised gain / (loss)</t>
  </si>
  <si>
    <t>Term today</t>
  </si>
  <si>
    <t>Tax effect (approx.)</t>
  </si>
  <si>
    <t>Note</t>
  </si>
  <si>
    <t>Book short-term loss to offset gains</t>
  </si>
  <si>
    <t>ZOMATO (05-Jun-26, 300 units)</t>
  </si>
  <si>
    <t>Short-term loss can absorb both STCG and LTCG</t>
  </si>
  <si>
    <t>ADANIPORTS (01-Aug-26, 50 units)</t>
  </si>
  <si>
    <t>SUNPHARMA (15-Mar-26, 30 units)</t>
  </si>
  <si>
    <t>Book long-term loss to offset LTCG</t>
  </si>
  <si>
    <t>INFY (Feb-24, 30 units)</t>
  </si>
  <si>
    <t>Long-term loss sets off only against LTCG</t>
  </si>
  <si>
    <t>ASIANPAINT (Oct-21, 5 units)</t>
  </si>
  <si>
    <t>TCS (10-Apr-26, 10 units)</t>
  </si>
  <si>
    <t>BAJFINANCE (01-Sep-26, 40 units)</t>
  </si>
  <si>
    <t>RELIANCE (01-Jul-26, 30 units)</t>
  </si>
  <si>
    <t>HDFCBANK (Jul-18, 10 units)</t>
  </si>
  <si>
    <t>Potential tax saving if all the above are done (approx.)</t>
  </si>
  <si>
    <t>Rates, limits and dates are on the Tax Rules sheet - verify against the law in force for the year. Surcharge (capped at 15% on 111A / 112A) is not computed. Educational illustration; not investment advice.</t>
  </si>
  <si>
    <t>TOTAL</t>
  </si>
  <si>
    <t>- Below cost: ADANIPORTS is 11% under the purchase price</t>
  </si>
  <si>
    <t>As on 21-Oct-2026   |   Prices: Demo (sample prices, not live quotes)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</si>
</sst>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-mmm\-yyyy"/>
    <numFmt numFmtId="165" formatCode="0.0%"/>
    <numFmt numFmtId="166" formatCode="#,##0.00;[Red]\-#,##0.00"/>
    <numFmt numFmtId="167" formatCode="#,##0;[Red]\-#,##0"/>
    <numFmt numFmtId="168" formatCode="#,##0;[Red]\(#,##0\)"/>
    <numFmt numFmtId="169" formatCode="0.0%;[Red]\-0.0%"/>
  </numFmts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Calibri"/>
      <family val="2"/>
    </font>
    <font>
      <b/>
      <sz val="16"/>
      <color rgb="FF1F4E79"/>
      <name val="Calibri"/>
      <family val="2"/>
    </font>
    <font>
      <i/>
      <sz val="10"/>
      <color rgb="FF595959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sz val="10"/>
      <color rgb="FF595959"/>
      <name val="Calibri"/>
      <family val="2"/>
    </font>
    <font>
      <i/>
      <sz val="10"/>
      <color rgb="FFCC3333"/>
      <name val="Calibri"/>
      <family val="2"/>
    </font>
    <font>
      <b/>
      <sz val="12"/>
      <color theme="1"/>
      <name val="Calibri"/>
      <family val="2"/>
    </font>
    <font>
      <sz val="10"/>
      <color rgb="FFF5F7FA"/>
      <name val="Calibri"/>
      <family val="2"/>
    </font>
    <font>
      <b/>
      <sz val="12"/>
      <color rgb="FF1F4E79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9"/>
      <color rgb="FF595959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b/>
      <sz val="12"/>
      <color rgb="FF7030A0"/>
      <name val="Aptos Narrow"/>
      <family val="2"/>
      <scheme val="minor"/>
    </font>
    <font>
      <sz val="8"/>
      <color rgb="FF595959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333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DEBF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4">
    <xf numFmtId="0" fontId="0" fillId="0" borderId="0" xfId="0"/>
    <xf numFmtId="49" fontId="0" fillId="0" borderId="0" xfId="0" applyNumberFormat="1"/>
    <xf numFmtId="0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2" borderId="0" xfId="0" applyFont="1" applyFill="1"/>
    <xf numFmtId="1" fontId="2" fillId="3" borderId="0" xfId="0" applyNumberFormat="1" applyFont="1" applyFill="1"/>
    <xf numFmtId="0" fontId="7" fillId="0" borderId="0" xfId="0" applyFont="1"/>
    <xf numFmtId="164" fontId="2" fillId="0" borderId="0" xfId="0" applyNumberFormat="1" applyFont="1"/>
    <xf numFmtId="164" fontId="2" fillId="3" borderId="0" xfId="0" applyNumberFormat="1" applyFont="1" applyFill="1"/>
    <xf numFmtId="165" fontId="2" fillId="3" borderId="0" xfId="0" applyNumberFormat="1" applyFont="1" applyFill="1"/>
    <xf numFmtId="3" fontId="2" fillId="3" borderId="0" xfId="0" applyNumberFormat="1" applyFont="1" applyFill="1"/>
    <xf numFmtId="9" fontId="2" fillId="3" borderId="0" xfId="0" applyNumberFormat="1" applyFont="1" applyFill="1"/>
    <xf numFmtId="0" fontId="8" fillId="0" borderId="0" xfId="0" applyFont="1"/>
    <xf numFmtId="0" fontId="2" fillId="3" borderId="0" xfId="0" applyFont="1" applyFill="1"/>
    <xf numFmtId="0" fontId="6" fillId="2" borderId="0" xfId="0" applyFont="1" applyFill="1" applyAlignment="1">
      <alignment horizontal="center" vertical="center" wrapText="1"/>
    </xf>
    <xf numFmtId="4" fontId="2" fillId="0" borderId="0" xfId="0" applyNumberFormat="1" applyFont="1"/>
    <xf numFmtId="4" fontId="6" fillId="2" borderId="0" xfId="0" applyNumberFormat="1" applyFont="1" applyFill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right"/>
    </xf>
    <xf numFmtId="0" fontId="3" fillId="5" borderId="0" xfId="0" applyFont="1" applyFill="1"/>
    <xf numFmtId="0" fontId="2" fillId="5" borderId="0" xfId="0" applyFont="1" applyFill="1"/>
    <xf numFmtId="0" fontId="4" fillId="5" borderId="0" xfId="0" applyFont="1" applyFill="1"/>
    <xf numFmtId="0" fontId="7" fillId="5" borderId="0" xfId="0" applyFont="1" applyFill="1"/>
    <xf numFmtId="0" fontId="6" fillId="6" borderId="0" xfId="0" applyFont="1" applyFill="1" applyAlignment="1">
      <alignment horizontal="center"/>
    </xf>
    <xf numFmtId="0" fontId="6" fillId="7" borderId="0" xfId="0" applyFont="1" applyFill="1"/>
    <xf numFmtId="0" fontId="10" fillId="5" borderId="0" xfId="0" applyFont="1" applyFill="1"/>
    <xf numFmtId="0" fontId="0" fillId="5" borderId="0" xfId="0" applyFill="1"/>
    <xf numFmtId="0" fontId="11" fillId="5" borderId="0" xfId="0" applyFont="1" applyFill="1"/>
    <xf numFmtId="0" fontId="12" fillId="5" borderId="0" xfId="0" applyFont="1" applyFill="1"/>
    <xf numFmtId="0" fontId="13" fillId="5" borderId="0" xfId="0" applyFont="1" applyFill="1"/>
    <xf numFmtId="164" fontId="0" fillId="0" borderId="0" xfId="0" applyNumberFormat="1"/>
    <xf numFmtId="4" fontId="0" fillId="0" borderId="0" xfId="0" applyNumberFormat="1"/>
    <xf numFmtId="166" fontId="0" fillId="0" borderId="0" xfId="0" applyNumberFormat="1"/>
    <xf numFmtId="165" fontId="0" fillId="0" borderId="0" xfId="0" applyNumberFormat="1"/>
    <xf numFmtId="166" fontId="0" fillId="8" borderId="0" xfId="0" applyNumberFormat="1" applyFill="1"/>
    <xf numFmtId="167" fontId="0" fillId="0" borderId="0" xfId="0" applyNumberFormat="1"/>
    <xf numFmtId="167" fontId="0" fillId="8" borderId="0" xfId="0" applyNumberFormat="1" applyFill="1"/>
    <xf numFmtId="49" fontId="9" fillId="3" borderId="0" xfId="0" quotePrefix="1" applyNumberFormat="1" applyFont="1" applyFill="1"/>
    <xf numFmtId="0" fontId="14" fillId="2" borderId="0" xfId="0" applyFont="1" applyFill="1" applyAlignment="1">
      <alignment horizontal="center"/>
    </xf>
    <xf numFmtId="0" fontId="1" fillId="10" borderId="0" xfId="0" applyFont="1" applyFill="1"/>
    <xf numFmtId="168" fontId="0" fillId="0" borderId="0" xfId="0" applyNumberFormat="1"/>
    <xf numFmtId="168" fontId="1" fillId="10" borderId="0" xfId="0" applyNumberFormat="1" applyFont="1" applyFill="1"/>
    <xf numFmtId="3" fontId="0" fillId="0" borderId="0" xfId="0" applyNumberFormat="1"/>
    <xf numFmtId="3" fontId="1" fillId="10" borderId="0" xfId="0" applyNumberFormat="1" applyFont="1" applyFill="1"/>
    <xf numFmtId="0" fontId="1" fillId="3" borderId="0" xfId="0" applyFont="1" applyFill="1"/>
    <xf numFmtId="0" fontId="0" fillId="3" borderId="0" xfId="0" applyFill="1"/>
    <xf numFmtId="3" fontId="15" fillId="3" borderId="0" xfId="0" applyNumberFormat="1" applyFont="1" applyFill="1"/>
    <xf numFmtId="0" fontId="14" fillId="6" borderId="0" xfId="0" applyFont="1" applyFill="1" applyAlignment="1">
      <alignment horizontal="center"/>
    </xf>
    <xf numFmtId="0" fontId="0" fillId="0" borderId="0" xfId="0" applyAlignment="1"/>
    <xf numFmtId="3" fontId="1" fillId="3" borderId="0" xfId="0" applyNumberFormat="1" applyFont="1" applyFill="1"/>
    <xf numFmtId="0" fontId="2" fillId="0" borderId="0" xfId="0" applyFont="1" applyAlignment="1"/>
    <xf numFmtId="0" fontId="1" fillId="10" borderId="0" xfId="0" applyFont="1" applyFill="1" applyAlignment="1"/>
    <xf numFmtId="0" fontId="1" fillId="3" borderId="0" xfId="0" applyFont="1" applyFill="1" applyAlignment="1"/>
    <xf numFmtId="0" fontId="16" fillId="0" borderId="0" xfId="0" applyFont="1" applyAlignment="1"/>
    <xf numFmtId="0" fontId="17" fillId="0" borderId="0" xfId="0" applyFont="1" applyAlignment="1"/>
    <xf numFmtId="169" fontId="0" fillId="0" borderId="0" xfId="0" applyNumberFormat="1"/>
    <xf numFmtId="4" fontId="0" fillId="3" borderId="0" xfId="0" applyNumberFormat="1" applyFill="1"/>
    <xf numFmtId="166" fontId="0" fillId="9" borderId="0" xfId="0" applyNumberFormat="1" applyFill="1"/>
    <xf numFmtId="167" fontId="0" fillId="9" borderId="0" xfId="0" applyNumberFormat="1" applyFill="1"/>
    <xf numFmtId="167" fontId="1" fillId="10" borderId="0" xfId="0" applyNumberFormat="1" applyFont="1" applyFill="1"/>
    <xf numFmtId="169" fontId="1" fillId="10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IN"/>
              <a:t>Sector allocation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_Data!$B$1</c:f>
              <c:strCache>
                <c:ptCount val="1"/>
                <c:pt idx="0">
                  <c:v>Value</c:v>
                </c:pt>
              </c:strCache>
            </c:strRef>
          </c:tx>
          <c:dPt>
            <c:idx val="0"/>
            <c:bubble3D val="0"/>
            <c:spPr>
              <a:solidFill>
                <a:srgbClr val="2E75B6"/>
              </a:solidFill>
            </c:spPr>
            <c:extLst>
              <c:ext xmlns:c16="http://schemas.microsoft.com/office/drawing/2014/chart" uri="{C3380CC4-5D6E-409C-BE32-E72D297353CC}">
                <c16:uniqueId val="{00000002-2E02-4F94-B2E8-7C29AFE36692}"/>
              </c:ext>
            </c:extLst>
          </c:dPt>
          <c:dPt>
            <c:idx val="1"/>
            <c:bubble3D val="0"/>
            <c:spPr>
              <a:solidFill>
                <a:srgbClr val="548235"/>
              </a:solidFill>
            </c:spPr>
            <c:extLst>
              <c:ext xmlns:c16="http://schemas.microsoft.com/office/drawing/2014/chart" uri="{C3380CC4-5D6E-409C-BE32-E72D297353CC}">
                <c16:uniqueId val="{00000003-2E02-4F94-B2E8-7C29AFE36692}"/>
              </c:ext>
            </c:extLst>
          </c:dPt>
          <c:dPt>
            <c:idx val="2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4-2E02-4F94-B2E8-7C29AFE36692}"/>
              </c:ext>
            </c:extLst>
          </c:dPt>
          <c:dPt>
            <c:idx val="3"/>
            <c:bubble3D val="0"/>
            <c:spPr>
              <a:solidFill>
                <a:srgbClr val="7030A0"/>
              </a:solidFill>
            </c:spPr>
            <c:extLst>
              <c:ext xmlns:c16="http://schemas.microsoft.com/office/drawing/2014/chart" uri="{C3380CC4-5D6E-409C-BE32-E72D297353CC}">
                <c16:uniqueId val="{00000005-2E02-4F94-B2E8-7C29AFE36692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6-2E02-4F94-B2E8-7C29AFE36692}"/>
              </c:ext>
            </c:extLst>
          </c:dPt>
          <c:dPt>
            <c:idx val="5"/>
            <c:bubble3D val="0"/>
            <c:spPr>
              <a:solidFill>
                <a:srgbClr val="008080"/>
              </a:solidFill>
            </c:spPr>
            <c:extLst>
              <c:ext xmlns:c16="http://schemas.microsoft.com/office/drawing/2014/chart" uri="{C3380CC4-5D6E-409C-BE32-E72D297353CC}">
                <c16:uniqueId val="{00000007-2E02-4F94-B2E8-7C29AFE36692}"/>
              </c:ext>
            </c:extLst>
          </c:dPt>
          <c:dPt>
            <c:idx val="6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8-2E02-4F94-B2E8-7C29AFE36692}"/>
              </c:ext>
            </c:extLst>
          </c:dPt>
          <c:dPt>
            <c:idx val="7"/>
            <c:bubble3D val="0"/>
            <c:spPr>
              <a:solidFill>
                <a:srgbClr val="5B9BD5"/>
              </a:solidFill>
            </c:spPr>
            <c:extLst>
              <c:ext xmlns:c16="http://schemas.microsoft.com/office/drawing/2014/chart" uri="{C3380CC4-5D6E-409C-BE32-E72D297353CC}">
                <c16:uniqueId val="{00000009-2E02-4F94-B2E8-7C29AFE36692}"/>
              </c:ext>
            </c:extLst>
          </c:dPt>
          <c:dPt>
            <c:idx val="8"/>
            <c:bubble3D val="0"/>
            <c:spPr>
              <a:solidFill>
                <a:srgbClr val="A5A5A5"/>
              </a:solidFill>
            </c:spPr>
            <c:extLst>
              <c:ext xmlns:c16="http://schemas.microsoft.com/office/drawing/2014/chart" uri="{C3380CC4-5D6E-409C-BE32-E72D297353CC}">
                <c16:uniqueId val="{0000000A-2E02-4F94-B2E8-7C29AFE36692}"/>
              </c:ext>
            </c:extLst>
          </c:dPt>
          <c:dPt>
            <c:idx val="9"/>
            <c:bubble3D val="0"/>
            <c:spPr>
              <a:solidFill>
                <a:srgbClr val="1F4E79"/>
              </a:solidFill>
            </c:spPr>
            <c:extLst>
              <c:ext xmlns:c16="http://schemas.microsoft.com/office/drawing/2014/chart" uri="{C3380CC4-5D6E-409C-BE32-E72D297353CC}">
                <c16:uniqueId val="{0000000B-2E02-4F94-B2E8-7C29AFE36692}"/>
              </c:ext>
            </c:extLst>
          </c:dPt>
          <c:dPt>
            <c:idx val="10"/>
            <c:bubble3D val="0"/>
            <c:spPr>
              <a:solidFill>
                <a:srgbClr val="2E75B6"/>
              </a:solidFill>
            </c:spPr>
            <c:extLst>
              <c:ext xmlns:c16="http://schemas.microsoft.com/office/drawing/2014/chart" uri="{C3380CC4-5D6E-409C-BE32-E72D297353CC}">
                <c16:uniqueId val="{0000000C-2E02-4F94-B2E8-7C29AFE36692}"/>
              </c:ext>
            </c:extLst>
          </c:dPt>
          <c:cat>
            <c:strRef>
              <c:f>_Data!$A$2:$A$12</c:f>
              <c:strCache>
                <c:ptCount val="11"/>
                <c:pt idx="0">
                  <c:v>Banks</c:v>
                </c:pt>
                <c:pt idx="1">
                  <c:v>IT</c:v>
                </c:pt>
                <c:pt idx="2">
                  <c:v>Consumer</c:v>
                </c:pt>
                <c:pt idx="3">
                  <c:v>Energy</c:v>
                </c:pt>
                <c:pt idx="4">
                  <c:v>Mutual Fund - Equity</c:v>
                </c:pt>
                <c:pt idx="5">
                  <c:v>NBFC</c:v>
                </c:pt>
                <c:pt idx="6">
                  <c:v>Internet</c:v>
                </c:pt>
                <c:pt idx="7">
                  <c:v>Pharma</c:v>
                </c:pt>
                <c:pt idx="8">
                  <c:v>Infrastructure</c:v>
                </c:pt>
                <c:pt idx="9">
                  <c:v>Capital Goods</c:v>
                </c:pt>
                <c:pt idx="10">
                  <c:v>FMCG</c:v>
                </c:pt>
              </c:strCache>
            </c:strRef>
          </c:cat>
          <c:val>
            <c:numRef>
              <c:f>_Data!$B$2:$B$12</c:f>
              <c:numCache>
                <c:formatCode>General</c:formatCode>
                <c:ptCount val="11"/>
                <c:pt idx="0">
                  <c:v>204000</c:v>
                </c:pt>
                <c:pt idx="1">
                  <c:v>109000</c:v>
                </c:pt>
                <c:pt idx="2">
                  <c:v>108000</c:v>
                </c:pt>
                <c:pt idx="3">
                  <c:v>101500</c:v>
                </c:pt>
                <c:pt idx="4">
                  <c:v>85000</c:v>
                </c:pt>
                <c:pt idx="5">
                  <c:v>81000</c:v>
                </c:pt>
                <c:pt idx="6">
                  <c:v>70500</c:v>
                </c:pt>
                <c:pt idx="7">
                  <c:v>66000</c:v>
                </c:pt>
                <c:pt idx="8">
                  <c:v>62500</c:v>
                </c:pt>
                <c:pt idx="9">
                  <c:v>55500</c:v>
                </c:pt>
                <c:pt idx="10">
                  <c:v>41000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2-4F94-B2E8-7C29AFE36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>
      <a:solidFill>
        <a:srgbClr val="D9E1EB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IN"/>
              <a:t>Top holdings by value (Rs)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_Data!$E$1</c:f>
              <c:strCache>
                <c:ptCount val="1"/>
                <c:pt idx="0">
                  <c:v>Value</c:v>
                </c:pt>
              </c:strCache>
            </c:strRef>
          </c:tx>
          <c:spPr>
            <a:solidFill>
              <a:srgbClr val="2E75B6"/>
            </a:solidFill>
          </c:spPr>
          <c:invertIfNegative val="0"/>
          <c:cat>
            <c:strRef>
              <c:f>_Data!$D$2:$D$11</c:f>
              <c:strCache>
                <c:ptCount val="10"/>
                <c:pt idx="0">
                  <c:v>LT</c:v>
                </c:pt>
                <c:pt idx="1">
                  <c:v>ADANIPORTS</c:v>
                </c:pt>
                <c:pt idx="2">
                  <c:v>SUNPHARMA</c:v>
                </c:pt>
                <c:pt idx="3">
                  <c:v>ZOMATO</c:v>
                </c:pt>
                <c:pt idx="4">
                  <c:v>TITAN</c:v>
                </c:pt>
                <c:pt idx="5">
                  <c:v>INFY</c:v>
                </c:pt>
                <c:pt idx="6">
                  <c:v>BAJFINANCE</c:v>
                </c:pt>
                <c:pt idx="7">
                  <c:v>PPFASFLEXI</c:v>
                </c:pt>
                <c:pt idx="8">
                  <c:v>RELIANCE</c:v>
                </c:pt>
                <c:pt idx="9">
                  <c:v>SBIN</c:v>
                </c:pt>
              </c:strCache>
            </c:strRef>
          </c:cat>
          <c:val>
            <c:numRef>
              <c:f>_Data!$E$2:$E$11</c:f>
              <c:numCache>
                <c:formatCode>General</c:formatCode>
                <c:ptCount val="10"/>
                <c:pt idx="0">
                  <c:v>55500</c:v>
                </c:pt>
                <c:pt idx="1">
                  <c:v>62500</c:v>
                </c:pt>
                <c:pt idx="2">
                  <c:v>66000</c:v>
                </c:pt>
                <c:pt idx="3">
                  <c:v>70500</c:v>
                </c:pt>
                <c:pt idx="4">
                  <c:v>72000</c:v>
                </c:pt>
                <c:pt idx="5">
                  <c:v>75000</c:v>
                </c:pt>
                <c:pt idx="6">
                  <c:v>81000</c:v>
                </c:pt>
                <c:pt idx="7">
                  <c:v>85000</c:v>
                </c:pt>
                <c:pt idx="8">
                  <c:v>101500</c:v>
                </c:pt>
                <c:pt idx="9">
                  <c:v>164000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52-4E8D-BAA3-CFBB52D7E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1477536"/>
        <c:axId val="1202399760"/>
      </c:barChart>
      <c:catAx>
        <c:axId val="13714775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02399760"/>
        <c:crosses val="autoZero"/>
        <c:auto val="1"/>
        <c:lblAlgn val="ctr"/>
        <c:lblOffset val="100"/>
        <c:noMultiLvlLbl val="0"/>
      </c:catAx>
      <c:valAx>
        <c:axId val="120239976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37147753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>
      <a:solidFill>
        <a:srgbClr val="D9E1EB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IN"/>
              <a:t>Unrealised profit / loss (Rs)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_Data!$H$1</c:f>
              <c:strCache>
                <c:ptCount val="1"/>
                <c:pt idx="0">
                  <c:v>Unrealised P&amp;L</c:v>
                </c:pt>
              </c:strCache>
            </c:strRef>
          </c:tx>
          <c:spPr>
            <a:solidFill>
              <a:srgbClr val="548235"/>
            </a:solidFill>
          </c:spPr>
          <c:invertIfNegative val="1"/>
          <c:cat>
            <c:strRef>
              <c:f>_Data!$G$2:$G$15</c:f>
              <c:strCache>
                <c:ptCount val="14"/>
                <c:pt idx="0">
                  <c:v>TCS</c:v>
                </c:pt>
                <c:pt idx="1">
                  <c:v>ASIANPAINT</c:v>
                </c:pt>
                <c:pt idx="2">
                  <c:v>HDFCBANK</c:v>
                </c:pt>
                <c:pt idx="3">
                  <c:v>ITC</c:v>
                </c:pt>
                <c:pt idx="4">
                  <c:v>LT</c:v>
                </c:pt>
                <c:pt idx="5">
                  <c:v>ADANIPORTS</c:v>
                </c:pt>
                <c:pt idx="6">
                  <c:v>SUNPHARMA</c:v>
                </c:pt>
                <c:pt idx="7">
                  <c:v>ZOMATO</c:v>
                </c:pt>
                <c:pt idx="8">
                  <c:v>TITAN</c:v>
                </c:pt>
                <c:pt idx="9">
                  <c:v>INFY</c:v>
                </c:pt>
                <c:pt idx="10">
                  <c:v>BAJFINANCE</c:v>
                </c:pt>
                <c:pt idx="11">
                  <c:v>PPFASFLEXI</c:v>
                </c:pt>
                <c:pt idx="12">
                  <c:v>RELIANCE</c:v>
                </c:pt>
                <c:pt idx="13">
                  <c:v>SBIN</c:v>
                </c:pt>
              </c:strCache>
            </c:strRef>
          </c:cat>
          <c:val>
            <c:numRef>
              <c:f>_Data!$H$2:$H$15</c:f>
              <c:numCache>
                <c:formatCode>General</c:formatCode>
                <c:ptCount val="14"/>
                <c:pt idx="0">
                  <c:v>-2030</c:v>
                </c:pt>
                <c:pt idx="1">
                  <c:v>-3038</c:v>
                </c:pt>
                <c:pt idx="2">
                  <c:v>1860</c:v>
                </c:pt>
                <c:pt idx="3">
                  <c:v>12975</c:v>
                </c:pt>
                <c:pt idx="4">
                  <c:v>41235</c:v>
                </c:pt>
                <c:pt idx="5">
                  <c:v>-7530</c:v>
                </c:pt>
                <c:pt idx="6">
                  <c:v>3958</c:v>
                </c:pt>
                <c:pt idx="7">
                  <c:v>-7540</c:v>
                </c:pt>
                <c:pt idx="8">
                  <c:v>22458</c:v>
                </c:pt>
                <c:pt idx="9">
                  <c:v>10647</c:v>
                </c:pt>
                <c:pt idx="10">
                  <c:v>10440</c:v>
                </c:pt>
                <c:pt idx="11">
                  <c:v>55000</c:v>
                </c:pt>
                <c:pt idx="12">
                  <c:v>21029</c:v>
                </c:pt>
                <c:pt idx="13">
                  <c:v>125967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C3333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63F3-4D18-BA17-298FC55B3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27919104"/>
        <c:axId val="1202393040"/>
      </c:barChart>
      <c:catAx>
        <c:axId val="14279191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02393040"/>
        <c:crosses val="autoZero"/>
        <c:auto val="1"/>
        <c:lblAlgn val="ctr"/>
        <c:lblOffset val="100"/>
        <c:noMultiLvlLbl val="0"/>
      </c:catAx>
      <c:valAx>
        <c:axId val="12023930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42791910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>
      <a:solidFill>
        <a:srgbClr val="D9E1EB"/>
      </a:solidFill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20</xdr:col>
      <xdr:colOff>508000</xdr:colOff>
      <xdr:row>4</xdr:row>
      <xdr:rowOff>157480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CFA1393-54D9-9487-557C-3E0975B4F18E}"/>
            </a:ext>
          </a:extLst>
        </xdr:cNvPr>
        <xdr:cNvSpPr/>
      </xdr:nvSpPr>
      <xdr:spPr>
        <a:xfrm>
          <a:off x="0" y="0"/>
          <a:ext cx="12700000" cy="889000"/>
        </a:xfrm>
        <a:prstGeom prst="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28600" rtlCol="0" anchor="ctr"/>
        <a:lstStyle/>
        <a:p>
          <a:pPr algn="l"/>
          <a:r>
            <a:rPr lang="en-IN" sz="2200" b="1">
              <a:solidFill>
                <a:srgbClr val="FFFFFF"/>
              </a:solidFill>
            </a:rPr>
            <a:t>Portfolio X-Ray &amp; Capital Gains</a:t>
          </a:r>
        </a:p>
        <a:p>
          <a:pPr algn="l"/>
          <a:r>
            <a:rPr lang="en-IN" sz="1000">
              <a:solidFill>
                <a:srgbClr val="FFFFFF"/>
              </a:solidFill>
            </a:rPr>
            <a:t>Capital gains (FIFO, grandfathering, set-off, Rs 1.25 lakh exemption)  +  portfolio X-Ray  +  one AI note</a:t>
          </a:r>
        </a:p>
      </xdr:txBody>
    </xdr:sp>
    <xdr:clientData/>
  </xdr:twoCellAnchor>
  <xdr:twoCellAnchor editAs="absolute">
    <xdr:from>
      <xdr:col>1</xdr:col>
      <xdr:colOff>63500</xdr:colOff>
      <xdr:row>6</xdr:row>
      <xdr:rowOff>71120</xdr:rowOff>
    </xdr:from>
    <xdr:to>
      <xdr:col>4</xdr:col>
      <xdr:colOff>546100</xdr:colOff>
      <xdr:row>10</xdr:row>
      <xdr:rowOff>50800</xdr:rowOff>
    </xdr:to>
    <xdr:sp macro="'Stk_Go &quot;Tradebook&quot;'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F05A006-4896-2A07-946A-A8CAE35717F4}"/>
            </a:ext>
          </a:extLst>
        </xdr:cNvPr>
        <xdr:cNvSpPr/>
      </xdr:nvSpPr>
      <xdr:spPr>
        <a:xfrm>
          <a:off x="254000" y="1168400"/>
          <a:ext cx="2311400" cy="711200"/>
        </a:xfrm>
        <a:prstGeom prst="roundRect">
          <a:avLst>
            <a:gd name="adj" fmla="val 12000"/>
          </a:avLst>
        </a:prstGeom>
        <a:solidFill>
          <a:srgbClr val="2E75B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rgbClr val="FFFFFF"/>
              </a:solidFill>
            </a:rPr>
            <a:t>1. Tradebook</a:t>
          </a:r>
        </a:p>
      </xdr:txBody>
    </xdr:sp>
    <xdr:clientData/>
  </xdr:twoCellAnchor>
  <xdr:twoCellAnchor editAs="absolute">
    <xdr:from>
      <xdr:col>5</xdr:col>
      <xdr:colOff>63500</xdr:colOff>
      <xdr:row>6</xdr:row>
      <xdr:rowOff>71120</xdr:rowOff>
    </xdr:from>
    <xdr:to>
      <xdr:col>8</xdr:col>
      <xdr:colOff>546100</xdr:colOff>
      <xdr:row>10</xdr:row>
      <xdr:rowOff>50800</xdr:rowOff>
    </xdr:to>
    <xdr:sp macro="CG_Ru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D3303BB-C297-80ED-334E-812F0D3FB298}"/>
            </a:ext>
          </a:extLst>
        </xdr:cNvPr>
        <xdr:cNvSpPr/>
      </xdr:nvSpPr>
      <xdr:spPr>
        <a:xfrm>
          <a:off x="2692400" y="1168400"/>
          <a:ext cx="2311400" cy="711200"/>
        </a:xfrm>
        <a:prstGeom prst="roundRect">
          <a:avLst>
            <a:gd name="adj" fmla="val 12000"/>
          </a:avLst>
        </a:prstGeom>
        <a:solidFill>
          <a:srgbClr val="54823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rgbClr val="FFFFFF"/>
              </a:solidFill>
            </a:rPr>
            <a:t>2. COMPUTE GAINS + X-RAY</a:t>
          </a:r>
        </a:p>
      </xdr:txBody>
    </xdr:sp>
    <xdr:clientData/>
  </xdr:twoCellAnchor>
  <xdr:twoCellAnchor editAs="absolute">
    <xdr:from>
      <xdr:col>9</xdr:col>
      <xdr:colOff>63500</xdr:colOff>
      <xdr:row>6</xdr:row>
      <xdr:rowOff>71120</xdr:rowOff>
    </xdr:from>
    <xdr:to>
      <xdr:col>12</xdr:col>
      <xdr:colOff>546100</xdr:colOff>
      <xdr:row>10</xdr:row>
      <xdr:rowOff>50800</xdr:rowOff>
    </xdr:to>
    <xdr:sp macro="'Stk_Go &quot;CG_Summary&quot;'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50E1A8D-DF86-54AE-7B51-5D52CA5F3602}"/>
            </a:ext>
          </a:extLst>
        </xdr:cNvPr>
        <xdr:cNvSpPr/>
      </xdr:nvSpPr>
      <xdr:spPr>
        <a:xfrm>
          <a:off x="5130800" y="1168400"/>
          <a:ext cx="2311400" cy="711200"/>
        </a:xfrm>
        <a:prstGeom prst="roundRect">
          <a:avLst>
            <a:gd name="adj" fmla="val 12000"/>
          </a:avLst>
        </a:prstGeom>
        <a:solidFill>
          <a:srgbClr val="54823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rgbClr val="FFFFFF"/>
              </a:solidFill>
            </a:rPr>
            <a:t>3. Capital Gains &amp; Tax</a:t>
          </a:r>
        </a:p>
      </xdr:txBody>
    </xdr:sp>
    <xdr:clientData/>
  </xdr:twoCellAnchor>
  <xdr:twoCellAnchor editAs="absolute">
    <xdr:from>
      <xdr:col>13</xdr:col>
      <xdr:colOff>63500</xdr:colOff>
      <xdr:row>6</xdr:row>
      <xdr:rowOff>71120</xdr:rowOff>
    </xdr:from>
    <xdr:to>
      <xdr:col>16</xdr:col>
      <xdr:colOff>546100</xdr:colOff>
      <xdr:row>10</xdr:row>
      <xdr:rowOff>50800</xdr:rowOff>
    </xdr:to>
    <xdr:sp macro="'Stk_Go &quot;XRay&quot;'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EA4044B-C76E-6979-5749-25C1C6F19DB6}"/>
            </a:ext>
          </a:extLst>
        </xdr:cNvPr>
        <xdr:cNvSpPr/>
      </xdr:nvSpPr>
      <xdr:spPr>
        <a:xfrm>
          <a:off x="7569200" y="1168400"/>
          <a:ext cx="2311400" cy="711200"/>
        </a:xfrm>
        <a:prstGeom prst="roundRect">
          <a:avLst>
            <a:gd name="adj" fmla="val 12000"/>
          </a:avLst>
        </a:prstGeom>
        <a:solidFill>
          <a:srgbClr val="7030A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rgbClr val="FFFFFF"/>
              </a:solidFill>
            </a:rPr>
            <a:t>4. PORTFOLIO X-RAY</a:t>
          </a:r>
        </a:p>
      </xdr:txBody>
    </xdr:sp>
    <xdr:clientData/>
  </xdr:twoCellAnchor>
  <xdr:twoCellAnchor editAs="absolute">
    <xdr:from>
      <xdr:col>17</xdr:col>
      <xdr:colOff>63500</xdr:colOff>
      <xdr:row>6</xdr:row>
      <xdr:rowOff>71120</xdr:rowOff>
    </xdr:from>
    <xdr:to>
      <xdr:col>20</xdr:col>
      <xdr:colOff>546100</xdr:colOff>
      <xdr:row>10</xdr:row>
      <xdr:rowOff>50800</xdr:rowOff>
    </xdr:to>
    <xdr:sp macro="Stk_AIFromHom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334FAC5E-DB4C-0746-ACA6-09BE9C03D5FB}"/>
            </a:ext>
          </a:extLst>
        </xdr:cNvPr>
        <xdr:cNvSpPr/>
      </xdr:nvSpPr>
      <xdr:spPr>
        <a:xfrm>
          <a:off x="10007600" y="1168400"/>
          <a:ext cx="2311400" cy="711200"/>
        </a:xfrm>
        <a:prstGeom prst="roundRect">
          <a:avLst>
            <a:gd name="adj" fmla="val 12000"/>
          </a:avLst>
        </a:prstGeom>
        <a:solidFill>
          <a:srgbClr val="7030A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rgbClr val="FFFFFF"/>
              </a:solidFill>
            </a:rPr>
            <a:t>5. AI Commentary</a:t>
          </a:r>
        </a:p>
      </xdr:txBody>
    </xdr:sp>
    <xdr:clientData/>
  </xdr:twoCellAnchor>
  <xdr:twoCellAnchor editAs="absolute">
    <xdr:from>
      <xdr:col>1</xdr:col>
      <xdr:colOff>63500</xdr:colOff>
      <xdr:row>11</xdr:row>
      <xdr:rowOff>20320</xdr:rowOff>
    </xdr:from>
    <xdr:to>
      <xdr:col>4</xdr:col>
      <xdr:colOff>139700</xdr:colOff>
      <xdr:row>13</xdr:row>
      <xdr:rowOff>86360</xdr:rowOff>
    </xdr:to>
    <xdr:sp macro="'Stk_Go &quot;CG_Lots&quot;'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ADC37CEC-3B28-A73A-D36D-B461A323128D}"/>
            </a:ext>
          </a:extLst>
        </xdr:cNvPr>
        <xdr:cNvSpPr/>
      </xdr:nvSpPr>
      <xdr:spPr>
        <a:xfrm>
          <a:off x="254000" y="2032000"/>
          <a:ext cx="1905000" cy="431800"/>
        </a:xfrm>
        <a:prstGeom prst="roundRect">
          <a:avLst>
            <a:gd name="adj" fmla="val 12000"/>
          </a:avLst>
        </a:prstGeom>
        <a:solidFill>
          <a:srgbClr val="59595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rgbClr val="FFFFFF"/>
              </a:solidFill>
            </a:rPr>
            <a:t>Lots (FIFO)</a:t>
          </a:r>
        </a:p>
      </xdr:txBody>
    </xdr:sp>
    <xdr:clientData/>
  </xdr:twoCellAnchor>
  <xdr:twoCellAnchor editAs="absolute">
    <xdr:from>
      <xdr:col>4</xdr:col>
      <xdr:colOff>266700</xdr:colOff>
      <xdr:row>11</xdr:row>
      <xdr:rowOff>20320</xdr:rowOff>
    </xdr:from>
    <xdr:to>
      <xdr:col>7</xdr:col>
      <xdr:colOff>342900</xdr:colOff>
      <xdr:row>13</xdr:row>
      <xdr:rowOff>86360</xdr:rowOff>
    </xdr:to>
    <xdr:sp macro="'Stk_Go &quot;Holdings&quot;'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9DE5689-6AD5-349D-AF7C-7D6F218C87A3}"/>
            </a:ext>
          </a:extLst>
        </xdr:cNvPr>
        <xdr:cNvSpPr/>
      </xdr:nvSpPr>
      <xdr:spPr>
        <a:xfrm>
          <a:off x="2286000" y="2032000"/>
          <a:ext cx="1905000" cy="431800"/>
        </a:xfrm>
        <a:prstGeom prst="roundRect">
          <a:avLst>
            <a:gd name="adj" fmla="val 12000"/>
          </a:avLst>
        </a:prstGeom>
        <a:solidFill>
          <a:srgbClr val="59595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rgbClr val="FFFFFF"/>
              </a:solidFill>
            </a:rPr>
            <a:t>Open Lots</a:t>
          </a:r>
        </a:p>
      </xdr:txBody>
    </xdr:sp>
    <xdr:clientData/>
  </xdr:twoCellAnchor>
  <xdr:twoCellAnchor editAs="absolute">
    <xdr:from>
      <xdr:col>7</xdr:col>
      <xdr:colOff>469900</xdr:colOff>
      <xdr:row>11</xdr:row>
      <xdr:rowOff>20320</xdr:rowOff>
    </xdr:from>
    <xdr:to>
      <xdr:col>10</xdr:col>
      <xdr:colOff>546100</xdr:colOff>
      <xdr:row>13</xdr:row>
      <xdr:rowOff>86360</xdr:rowOff>
    </xdr:to>
    <xdr:sp macro="'Stk_Go &quot;Prices&quot;'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C3D9E23-A5B5-94B7-56FC-278D1D6564E7}"/>
            </a:ext>
          </a:extLst>
        </xdr:cNvPr>
        <xdr:cNvSpPr/>
      </xdr:nvSpPr>
      <xdr:spPr>
        <a:xfrm>
          <a:off x="4318000" y="2032000"/>
          <a:ext cx="1905000" cy="431800"/>
        </a:xfrm>
        <a:prstGeom prst="roundRect">
          <a:avLst>
            <a:gd name="adj" fmla="val 12000"/>
          </a:avLst>
        </a:prstGeom>
        <a:solidFill>
          <a:srgbClr val="59595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rgbClr val="FFFFFF"/>
              </a:solidFill>
            </a:rPr>
            <a:t>Prices &amp; Sectors</a:t>
          </a:r>
        </a:p>
      </xdr:txBody>
    </xdr:sp>
    <xdr:clientData/>
  </xdr:twoCellAnchor>
  <xdr:twoCellAnchor editAs="absolute">
    <xdr:from>
      <xdr:col>11</xdr:col>
      <xdr:colOff>63500</xdr:colOff>
      <xdr:row>11</xdr:row>
      <xdr:rowOff>20320</xdr:rowOff>
    </xdr:from>
    <xdr:to>
      <xdr:col>14</xdr:col>
      <xdr:colOff>139700</xdr:colOff>
      <xdr:row>13</xdr:row>
      <xdr:rowOff>86360</xdr:rowOff>
    </xdr:to>
    <xdr:sp macro="'Stk_Go &quot;Tax Rules&quot;'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CD338FB1-FB8E-A9DB-CCAA-9F84698C7BAA}"/>
            </a:ext>
          </a:extLst>
        </xdr:cNvPr>
        <xdr:cNvSpPr/>
      </xdr:nvSpPr>
      <xdr:spPr>
        <a:xfrm>
          <a:off x="6350000" y="2032000"/>
          <a:ext cx="1905000" cy="431800"/>
        </a:xfrm>
        <a:prstGeom prst="roundRect">
          <a:avLst>
            <a:gd name="adj" fmla="val 12000"/>
          </a:avLst>
        </a:prstGeom>
        <a:solidFill>
          <a:srgbClr val="59595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rgbClr val="FFFFFF"/>
              </a:solidFill>
            </a:rPr>
            <a:t>Tax Rules</a:t>
          </a:r>
        </a:p>
      </xdr:txBody>
    </xdr:sp>
    <xdr:clientData/>
  </xdr:twoCellAnchor>
  <xdr:twoCellAnchor editAs="absolute">
    <xdr:from>
      <xdr:col>14</xdr:col>
      <xdr:colOff>266700</xdr:colOff>
      <xdr:row>11</xdr:row>
      <xdr:rowOff>20320</xdr:rowOff>
    </xdr:from>
    <xdr:to>
      <xdr:col>17</xdr:col>
      <xdr:colOff>342900</xdr:colOff>
      <xdr:row>13</xdr:row>
      <xdr:rowOff>86360</xdr:rowOff>
    </xdr:to>
    <xdr:sp macro="'Stk_Go &quot;Settings&quot;'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C219F0C2-453E-3B34-1552-ECF77F2AB22B}"/>
            </a:ext>
          </a:extLst>
        </xdr:cNvPr>
        <xdr:cNvSpPr/>
      </xdr:nvSpPr>
      <xdr:spPr>
        <a:xfrm>
          <a:off x="8382000" y="2032000"/>
          <a:ext cx="1905000" cy="431800"/>
        </a:xfrm>
        <a:prstGeom prst="roundRect">
          <a:avLst>
            <a:gd name="adj" fmla="val 12000"/>
          </a:avLst>
        </a:prstGeom>
        <a:solidFill>
          <a:srgbClr val="59595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rgbClr val="FFFFFF"/>
              </a:solidFill>
            </a:rPr>
            <a:t>Settings</a:t>
          </a:r>
        </a:p>
      </xdr:txBody>
    </xdr:sp>
    <xdr:clientData/>
  </xdr:twoCellAnchor>
  <xdr:twoCellAnchor editAs="absolute">
    <xdr:from>
      <xdr:col>17</xdr:col>
      <xdr:colOff>469900</xdr:colOff>
      <xdr:row>11</xdr:row>
      <xdr:rowOff>20320</xdr:rowOff>
    </xdr:from>
    <xdr:to>
      <xdr:col>20</xdr:col>
      <xdr:colOff>546100</xdr:colOff>
      <xdr:row>13</xdr:row>
      <xdr:rowOff>86360</xdr:rowOff>
    </xdr:to>
    <xdr:sp macro="Stk_LoadSample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6C61E840-E0CF-F1FF-92CB-395AD0CC895D}"/>
            </a:ext>
          </a:extLst>
        </xdr:cNvPr>
        <xdr:cNvSpPr/>
      </xdr:nvSpPr>
      <xdr:spPr>
        <a:xfrm>
          <a:off x="10414000" y="2032000"/>
          <a:ext cx="1905000" cy="431800"/>
        </a:xfrm>
        <a:prstGeom prst="roundRect">
          <a:avLst>
            <a:gd name="adj" fmla="val 12000"/>
          </a:avLst>
        </a:prstGeom>
        <a:solidFill>
          <a:srgbClr val="59595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rgbClr val="FFFFFF"/>
              </a:solidFill>
            </a:rPr>
            <a:t>Load Sample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3</xdr:row>
      <xdr:rowOff>43180</xdr:rowOff>
    </xdr:from>
    <xdr:to>
      <xdr:col>3</xdr:col>
      <xdr:colOff>152400</xdr:colOff>
      <xdr:row>7</xdr:row>
      <xdr:rowOff>68580</xdr:rowOff>
    </xdr:to>
    <xdr:sp macro="" textlink="">
      <xdr:nvSpPr>
        <xdr:cNvPr id="2" name="xk1">
          <a:extLst>
            <a:ext uri="{FF2B5EF4-FFF2-40B4-BE49-F238E27FC236}">
              <a16:creationId xmlns:a16="http://schemas.microsoft.com/office/drawing/2014/main" id="{4C6C9B74-BB2A-7AC3-02B9-26F0E65C5C21}"/>
            </a:ext>
          </a:extLst>
        </xdr:cNvPr>
        <xdr:cNvSpPr/>
      </xdr:nvSpPr>
      <xdr:spPr>
        <a:xfrm>
          <a:off x="127000" y="660400"/>
          <a:ext cx="1854200" cy="787400"/>
        </a:xfrm>
        <a:prstGeom prst="roundRect">
          <a:avLst>
            <a:gd name="adj" fmla="val 8000"/>
          </a:avLst>
        </a:prstGeom>
        <a:solidFill>
          <a:srgbClr val="FFFFFF"/>
        </a:solidFill>
        <a:ln>
          <a:solidFill>
            <a:srgbClr val="D9E1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tlCol="0" anchor="ctr"/>
        <a:lstStyle/>
        <a:p>
          <a:pPr algn="l"/>
          <a:r>
            <a:rPr lang="en-IN" sz="900" b="0">
              <a:solidFill>
                <a:srgbClr val="595959"/>
              </a:solidFill>
            </a:rPr>
            <a:t>Invested (open positions)</a:t>
          </a:r>
        </a:p>
        <a:p>
          <a:pPr algn="l"/>
          <a:r>
            <a:rPr lang="en-IN" sz="1800" b="1">
              <a:solidFill>
                <a:srgbClr val="1F4E79"/>
              </a:solidFill>
            </a:rPr>
            <a:t>Rs 6,98,571</a:t>
          </a:r>
        </a:p>
        <a:p>
          <a:pPr algn="l"/>
          <a:r>
            <a:rPr lang="en-IN" sz="800" b="0">
              <a:solidFill>
                <a:srgbClr val="595959"/>
              </a:solidFill>
            </a:rPr>
            <a:t>14 holdings</a:t>
          </a:r>
        </a:p>
      </xdr:txBody>
    </xdr:sp>
    <xdr:clientData/>
  </xdr:twoCellAnchor>
  <xdr:twoCellAnchor>
    <xdr:from>
      <xdr:col>3</xdr:col>
      <xdr:colOff>228600</xdr:colOff>
      <xdr:row>3</xdr:row>
      <xdr:rowOff>43180</xdr:rowOff>
    </xdr:from>
    <xdr:to>
      <xdr:col>6</xdr:col>
      <xdr:colOff>254000</xdr:colOff>
      <xdr:row>7</xdr:row>
      <xdr:rowOff>68580</xdr:rowOff>
    </xdr:to>
    <xdr:sp macro="" textlink="">
      <xdr:nvSpPr>
        <xdr:cNvPr id="3" name="xk2">
          <a:extLst>
            <a:ext uri="{FF2B5EF4-FFF2-40B4-BE49-F238E27FC236}">
              <a16:creationId xmlns:a16="http://schemas.microsoft.com/office/drawing/2014/main" id="{2C76A05D-D203-72E8-7F37-3B8B210F0D39}"/>
            </a:ext>
          </a:extLst>
        </xdr:cNvPr>
        <xdr:cNvSpPr/>
      </xdr:nvSpPr>
      <xdr:spPr>
        <a:xfrm>
          <a:off x="2057400" y="660400"/>
          <a:ext cx="1854200" cy="787400"/>
        </a:xfrm>
        <a:prstGeom prst="roundRect">
          <a:avLst>
            <a:gd name="adj" fmla="val 8000"/>
          </a:avLst>
        </a:prstGeom>
        <a:solidFill>
          <a:srgbClr val="FFFFFF"/>
        </a:solidFill>
        <a:ln>
          <a:solidFill>
            <a:srgbClr val="D9E1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tlCol="0" anchor="ctr"/>
        <a:lstStyle/>
        <a:p>
          <a:pPr algn="l"/>
          <a:r>
            <a:rPr lang="en-IN" sz="900" b="0">
              <a:solidFill>
                <a:srgbClr val="595959"/>
              </a:solidFill>
            </a:rPr>
            <a:t>Current value</a:t>
          </a:r>
        </a:p>
        <a:p>
          <a:pPr algn="l"/>
          <a:r>
            <a:rPr lang="en-IN" sz="1800" b="1">
              <a:solidFill>
                <a:srgbClr val="1F4E79"/>
              </a:solidFill>
            </a:rPr>
            <a:t>Rs 9,84,000</a:t>
          </a:r>
        </a:p>
        <a:p>
          <a:pPr algn="l"/>
          <a:r>
            <a:rPr lang="en-IN" sz="800" b="0">
              <a:solidFill>
                <a:srgbClr val="595959"/>
              </a:solidFill>
            </a:rPr>
            <a:t>prices: Demo</a:t>
          </a:r>
        </a:p>
      </xdr:txBody>
    </xdr:sp>
    <xdr:clientData/>
  </xdr:twoCellAnchor>
  <xdr:twoCellAnchor>
    <xdr:from>
      <xdr:col>6</xdr:col>
      <xdr:colOff>330200</xdr:colOff>
      <xdr:row>3</xdr:row>
      <xdr:rowOff>43180</xdr:rowOff>
    </xdr:from>
    <xdr:to>
      <xdr:col>9</xdr:col>
      <xdr:colOff>355600</xdr:colOff>
      <xdr:row>7</xdr:row>
      <xdr:rowOff>68580</xdr:rowOff>
    </xdr:to>
    <xdr:sp macro="" textlink="">
      <xdr:nvSpPr>
        <xdr:cNvPr id="4" name="xk3">
          <a:extLst>
            <a:ext uri="{FF2B5EF4-FFF2-40B4-BE49-F238E27FC236}">
              <a16:creationId xmlns:a16="http://schemas.microsoft.com/office/drawing/2014/main" id="{56EC6F11-2E37-7C07-10B0-D75CFDABEBDC}"/>
            </a:ext>
          </a:extLst>
        </xdr:cNvPr>
        <xdr:cNvSpPr/>
      </xdr:nvSpPr>
      <xdr:spPr>
        <a:xfrm>
          <a:off x="3987800" y="660400"/>
          <a:ext cx="1854200" cy="787400"/>
        </a:xfrm>
        <a:prstGeom prst="roundRect">
          <a:avLst>
            <a:gd name="adj" fmla="val 8000"/>
          </a:avLst>
        </a:prstGeom>
        <a:solidFill>
          <a:srgbClr val="FFFFFF"/>
        </a:solidFill>
        <a:ln>
          <a:solidFill>
            <a:srgbClr val="D9E1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tlCol="0" anchor="ctr"/>
        <a:lstStyle/>
        <a:p>
          <a:pPr algn="l"/>
          <a:r>
            <a:rPr lang="en-IN" sz="900" b="0">
              <a:solidFill>
                <a:srgbClr val="595959"/>
              </a:solidFill>
            </a:rPr>
            <a:t>Unrealised P&amp;L</a:t>
          </a:r>
        </a:p>
        <a:p>
          <a:pPr algn="l"/>
          <a:r>
            <a:rPr lang="en-IN" sz="1800" b="1">
              <a:solidFill>
                <a:srgbClr val="1F4E79"/>
              </a:solidFill>
            </a:rPr>
            <a:t>Rs 2,85,429</a:t>
          </a:r>
        </a:p>
        <a:p>
          <a:pPr algn="l"/>
          <a:r>
            <a:rPr lang="en-IN" sz="800" b="0">
              <a:solidFill>
                <a:srgbClr val="595959"/>
              </a:solidFill>
            </a:rPr>
            <a:t>40.9%</a:t>
          </a:r>
        </a:p>
      </xdr:txBody>
    </xdr:sp>
    <xdr:clientData/>
  </xdr:twoCellAnchor>
  <xdr:twoCellAnchor>
    <xdr:from>
      <xdr:col>9</xdr:col>
      <xdr:colOff>431800</xdr:colOff>
      <xdr:row>3</xdr:row>
      <xdr:rowOff>43180</xdr:rowOff>
    </xdr:from>
    <xdr:to>
      <xdr:col>12</xdr:col>
      <xdr:colOff>457200</xdr:colOff>
      <xdr:row>7</xdr:row>
      <xdr:rowOff>68580</xdr:rowOff>
    </xdr:to>
    <xdr:sp macro="" textlink="">
      <xdr:nvSpPr>
        <xdr:cNvPr id="5" name="xk4">
          <a:extLst>
            <a:ext uri="{FF2B5EF4-FFF2-40B4-BE49-F238E27FC236}">
              <a16:creationId xmlns:a16="http://schemas.microsoft.com/office/drawing/2014/main" id="{2E34C582-4125-E383-E92B-F735EF37970E}"/>
            </a:ext>
          </a:extLst>
        </xdr:cNvPr>
        <xdr:cNvSpPr/>
      </xdr:nvSpPr>
      <xdr:spPr>
        <a:xfrm>
          <a:off x="5918200" y="660400"/>
          <a:ext cx="1854200" cy="787400"/>
        </a:xfrm>
        <a:prstGeom prst="roundRect">
          <a:avLst>
            <a:gd name="adj" fmla="val 8000"/>
          </a:avLst>
        </a:prstGeom>
        <a:solidFill>
          <a:srgbClr val="FFFFFF"/>
        </a:solidFill>
        <a:ln>
          <a:solidFill>
            <a:srgbClr val="D9E1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tlCol="0" anchor="ctr"/>
        <a:lstStyle/>
        <a:p>
          <a:pPr algn="l"/>
          <a:r>
            <a:rPr lang="en-IN" sz="900" b="0">
              <a:solidFill>
                <a:srgbClr val="595959"/>
              </a:solidFill>
            </a:rPr>
            <a:t>Portfolio XIRR</a:t>
          </a:r>
        </a:p>
        <a:p>
          <a:pPr algn="l"/>
          <a:r>
            <a:rPr lang="en-IN" sz="1800" b="1">
              <a:solidFill>
                <a:srgbClr val="1F4E79"/>
              </a:solidFill>
            </a:rPr>
            <a:t>12.7%</a:t>
          </a:r>
        </a:p>
        <a:p>
          <a:pPr algn="l"/>
          <a:r>
            <a:rPr lang="en-IN" sz="800" b="0">
              <a:solidFill>
                <a:srgbClr val="595959"/>
              </a:solidFill>
            </a:rPr>
            <a:t>since first purchase</a:t>
          </a:r>
        </a:p>
      </xdr:txBody>
    </xdr:sp>
    <xdr:clientData/>
  </xdr:twoCellAnchor>
  <xdr:twoCellAnchor>
    <xdr:from>
      <xdr:col>12</xdr:col>
      <xdr:colOff>533400</xdr:colOff>
      <xdr:row>3</xdr:row>
      <xdr:rowOff>43180</xdr:rowOff>
    </xdr:from>
    <xdr:to>
      <xdr:col>15</xdr:col>
      <xdr:colOff>558800</xdr:colOff>
      <xdr:row>7</xdr:row>
      <xdr:rowOff>68580</xdr:rowOff>
    </xdr:to>
    <xdr:sp macro="" textlink="">
      <xdr:nvSpPr>
        <xdr:cNvPr id="6" name="xk5">
          <a:extLst>
            <a:ext uri="{FF2B5EF4-FFF2-40B4-BE49-F238E27FC236}">
              <a16:creationId xmlns:a16="http://schemas.microsoft.com/office/drawing/2014/main" id="{15B770A3-7AFA-20AD-C072-4882548A04A5}"/>
            </a:ext>
          </a:extLst>
        </xdr:cNvPr>
        <xdr:cNvSpPr/>
      </xdr:nvSpPr>
      <xdr:spPr>
        <a:xfrm>
          <a:off x="7848600" y="660400"/>
          <a:ext cx="1854200" cy="787400"/>
        </a:xfrm>
        <a:prstGeom prst="roundRect">
          <a:avLst>
            <a:gd name="adj" fmla="val 8000"/>
          </a:avLst>
        </a:prstGeom>
        <a:solidFill>
          <a:srgbClr val="FFFFFF"/>
        </a:solidFill>
        <a:ln>
          <a:solidFill>
            <a:srgbClr val="D9E1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tlCol="0" anchor="ctr"/>
        <a:lstStyle/>
        <a:p>
          <a:pPr algn="l"/>
          <a:r>
            <a:rPr lang="en-IN" sz="900" b="0">
              <a:solidFill>
                <a:srgbClr val="595959"/>
              </a:solidFill>
            </a:rPr>
            <a:t>Top holding</a:t>
          </a:r>
        </a:p>
        <a:p>
          <a:pPr algn="l"/>
          <a:r>
            <a:rPr lang="en-IN" sz="1800" b="1">
              <a:solidFill>
                <a:srgbClr val="1F4E79"/>
              </a:solidFill>
            </a:rPr>
            <a:t>SBIN</a:t>
          </a:r>
        </a:p>
        <a:p>
          <a:pPr algn="l"/>
          <a:r>
            <a:rPr lang="en-IN" sz="800" b="0">
              <a:solidFill>
                <a:srgbClr val="595959"/>
              </a:solidFill>
            </a:rPr>
            <a:t>17% of portfolio</a:t>
          </a:r>
        </a:p>
      </xdr:txBody>
    </xdr:sp>
    <xdr:clientData/>
  </xdr:twoCellAnchor>
  <xdr:twoCellAnchor>
    <xdr:from>
      <xdr:col>16</xdr:col>
      <xdr:colOff>25400</xdr:colOff>
      <xdr:row>3</xdr:row>
      <xdr:rowOff>43180</xdr:rowOff>
    </xdr:from>
    <xdr:to>
      <xdr:col>19</xdr:col>
      <xdr:colOff>50800</xdr:colOff>
      <xdr:row>7</xdr:row>
      <xdr:rowOff>68580</xdr:rowOff>
    </xdr:to>
    <xdr:sp macro="" textlink="">
      <xdr:nvSpPr>
        <xdr:cNvPr id="7" name="xk6">
          <a:extLst>
            <a:ext uri="{FF2B5EF4-FFF2-40B4-BE49-F238E27FC236}">
              <a16:creationId xmlns:a16="http://schemas.microsoft.com/office/drawing/2014/main" id="{1A9B29A6-4EA5-F047-A5F0-AC77E4A63334}"/>
            </a:ext>
          </a:extLst>
        </xdr:cNvPr>
        <xdr:cNvSpPr/>
      </xdr:nvSpPr>
      <xdr:spPr>
        <a:xfrm>
          <a:off x="9779000" y="660400"/>
          <a:ext cx="1854200" cy="787400"/>
        </a:xfrm>
        <a:prstGeom prst="roundRect">
          <a:avLst>
            <a:gd name="adj" fmla="val 8000"/>
          </a:avLst>
        </a:prstGeom>
        <a:solidFill>
          <a:srgbClr val="FFFFFF"/>
        </a:solidFill>
        <a:ln>
          <a:solidFill>
            <a:srgbClr val="D9E1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tlCol="0" anchor="ctr"/>
        <a:lstStyle/>
        <a:p>
          <a:pPr algn="l"/>
          <a:r>
            <a:rPr lang="en-IN" sz="900" b="0">
              <a:solidFill>
                <a:srgbClr val="595959"/>
              </a:solidFill>
            </a:rPr>
            <a:t>Top sector</a:t>
          </a:r>
        </a:p>
        <a:p>
          <a:pPr algn="l"/>
          <a:r>
            <a:rPr lang="en-IN" sz="1800" b="1">
              <a:solidFill>
                <a:srgbClr val="1F4E79"/>
              </a:solidFill>
            </a:rPr>
            <a:t>Banks</a:t>
          </a:r>
        </a:p>
        <a:p>
          <a:pPr algn="l"/>
          <a:r>
            <a:rPr lang="en-IN" sz="800" b="0">
              <a:solidFill>
                <a:srgbClr val="595959"/>
              </a:solidFill>
            </a:rPr>
            <a:t>21% of portfolio</a:t>
          </a:r>
        </a:p>
      </xdr:txBody>
    </xdr:sp>
    <xdr:clientData/>
  </xdr:twoCellAnchor>
  <xdr:twoCellAnchor>
    <xdr:from>
      <xdr:col>19</xdr:col>
      <xdr:colOff>127000</xdr:colOff>
      <xdr:row>3</xdr:row>
      <xdr:rowOff>43180</xdr:rowOff>
    </xdr:from>
    <xdr:to>
      <xdr:col>22</xdr:col>
      <xdr:colOff>152400</xdr:colOff>
      <xdr:row>7</xdr:row>
      <xdr:rowOff>68580</xdr:rowOff>
    </xdr:to>
    <xdr:sp macro="" textlink="">
      <xdr:nvSpPr>
        <xdr:cNvPr id="8" name="xk7">
          <a:extLst>
            <a:ext uri="{FF2B5EF4-FFF2-40B4-BE49-F238E27FC236}">
              <a16:creationId xmlns:a16="http://schemas.microsoft.com/office/drawing/2014/main" id="{C26F5B01-BC30-2B84-FC04-0A715CB93B39}"/>
            </a:ext>
          </a:extLst>
        </xdr:cNvPr>
        <xdr:cNvSpPr/>
      </xdr:nvSpPr>
      <xdr:spPr>
        <a:xfrm>
          <a:off x="11709400" y="660400"/>
          <a:ext cx="1854200" cy="787400"/>
        </a:xfrm>
        <a:prstGeom prst="roundRect">
          <a:avLst>
            <a:gd name="adj" fmla="val 8000"/>
          </a:avLst>
        </a:prstGeom>
        <a:solidFill>
          <a:srgbClr val="FFFFFF"/>
        </a:solidFill>
        <a:ln>
          <a:solidFill>
            <a:srgbClr val="D9E1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tlCol="0" anchor="ctr"/>
        <a:lstStyle/>
        <a:p>
          <a:pPr algn="l"/>
          <a:r>
            <a:rPr lang="en-IN" sz="900" b="0">
              <a:solidFill>
                <a:srgbClr val="595959"/>
              </a:solidFill>
            </a:rPr>
            <a:t>Realised gains FY 2026-27</a:t>
          </a:r>
        </a:p>
        <a:p>
          <a:pPr algn="l"/>
          <a:r>
            <a:rPr lang="en-IN" sz="1800" b="1">
              <a:solidFill>
                <a:srgbClr val="1F4E79"/>
              </a:solidFill>
            </a:rPr>
            <a:t>Rs 1,94,491</a:t>
          </a:r>
        </a:p>
        <a:p>
          <a:pPr algn="l"/>
          <a:r>
            <a:rPr lang="en-IN" sz="800" b="0">
              <a:solidFill>
                <a:srgbClr val="595959"/>
              </a:solidFill>
            </a:rPr>
            <a:t>ST 39,355 | LT 1,55,136</a:t>
          </a:r>
        </a:p>
      </xdr:txBody>
    </xdr:sp>
    <xdr:clientData/>
  </xdr:twoCellAnchor>
  <xdr:twoCellAnchor>
    <xdr:from>
      <xdr:col>22</xdr:col>
      <xdr:colOff>228600</xdr:colOff>
      <xdr:row>3</xdr:row>
      <xdr:rowOff>43180</xdr:rowOff>
    </xdr:from>
    <xdr:to>
      <xdr:col>25</xdr:col>
      <xdr:colOff>254000</xdr:colOff>
      <xdr:row>7</xdr:row>
      <xdr:rowOff>68580</xdr:rowOff>
    </xdr:to>
    <xdr:sp macro="" textlink="">
      <xdr:nvSpPr>
        <xdr:cNvPr id="9" name="xk8">
          <a:extLst>
            <a:ext uri="{FF2B5EF4-FFF2-40B4-BE49-F238E27FC236}">
              <a16:creationId xmlns:a16="http://schemas.microsoft.com/office/drawing/2014/main" id="{B2F216F8-69C3-5892-1B47-A12618643F8E}"/>
            </a:ext>
          </a:extLst>
        </xdr:cNvPr>
        <xdr:cNvSpPr/>
      </xdr:nvSpPr>
      <xdr:spPr>
        <a:xfrm>
          <a:off x="13639800" y="660400"/>
          <a:ext cx="1854200" cy="787400"/>
        </a:xfrm>
        <a:prstGeom prst="roundRect">
          <a:avLst>
            <a:gd name="adj" fmla="val 8000"/>
          </a:avLst>
        </a:prstGeom>
        <a:solidFill>
          <a:srgbClr val="FFFFFF"/>
        </a:solidFill>
        <a:ln>
          <a:solidFill>
            <a:srgbClr val="D9E1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tlCol="0" anchor="ctr"/>
        <a:lstStyle/>
        <a:p>
          <a:pPr algn="l"/>
          <a:r>
            <a:rPr lang="en-IN" sz="900" b="0">
              <a:solidFill>
                <a:srgbClr val="595959"/>
              </a:solidFill>
            </a:rPr>
            <a:t>Tax on capital gains FY 2026-27</a:t>
          </a:r>
        </a:p>
        <a:p>
          <a:pPr algn="l"/>
          <a:r>
            <a:rPr lang="en-IN" sz="1800" b="1">
              <a:solidFill>
                <a:srgbClr val="CC3333"/>
              </a:solidFill>
            </a:rPr>
            <a:t>Rs 12,936</a:t>
          </a:r>
        </a:p>
        <a:p>
          <a:pPr algn="l"/>
          <a:r>
            <a:rPr lang="en-IN" sz="800" b="0">
              <a:solidFill>
                <a:srgbClr val="CC3333"/>
              </a:solidFill>
            </a:rPr>
            <a:t>after Rs 1,25,000 exemption</a:t>
          </a:r>
        </a:p>
      </xdr:txBody>
    </xdr:sp>
    <xdr:clientData/>
  </xdr:twoCellAnchor>
  <xdr:twoCellAnchor>
    <xdr:from>
      <xdr:col>0</xdr:col>
      <xdr:colOff>127000</xdr:colOff>
      <xdr:row>8</xdr:row>
      <xdr:rowOff>5080</xdr:rowOff>
    </xdr:from>
    <xdr:to>
      <xdr:col>8</xdr:col>
      <xdr:colOff>266700</xdr:colOff>
      <xdr:row>25</xdr:row>
      <xdr:rowOff>63500</xdr:rowOff>
    </xdr:to>
    <xdr:graphicFrame macro="">
      <xdr:nvGraphicFramePr>
        <xdr:cNvPr id="10" name="chSector">
          <a:extLst>
            <a:ext uri="{FF2B5EF4-FFF2-40B4-BE49-F238E27FC236}">
              <a16:creationId xmlns:a16="http://schemas.microsoft.com/office/drawing/2014/main" id="{B6A28021-A25B-50EA-30D2-F1C28C977A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368300</xdr:colOff>
      <xdr:row>8</xdr:row>
      <xdr:rowOff>5080</xdr:rowOff>
    </xdr:from>
    <xdr:to>
      <xdr:col>16</xdr:col>
      <xdr:colOff>508000</xdr:colOff>
      <xdr:row>25</xdr:row>
      <xdr:rowOff>63500</xdr:rowOff>
    </xdr:to>
    <xdr:graphicFrame macro="">
      <xdr:nvGraphicFramePr>
        <xdr:cNvPr id="11" name="chTop">
          <a:extLst>
            <a:ext uri="{FF2B5EF4-FFF2-40B4-BE49-F238E27FC236}">
              <a16:creationId xmlns:a16="http://schemas.microsoft.com/office/drawing/2014/main" id="{9459B98E-2A62-D817-69D2-DC77E3FB79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8</xdr:row>
      <xdr:rowOff>5080</xdr:rowOff>
    </xdr:from>
    <xdr:to>
      <xdr:col>25</xdr:col>
      <xdr:colOff>139700</xdr:colOff>
      <xdr:row>25</xdr:row>
      <xdr:rowOff>63500</xdr:rowOff>
    </xdr:to>
    <xdr:graphicFrame macro="">
      <xdr:nvGraphicFramePr>
        <xdr:cNvPr id="12" name="chPL">
          <a:extLst>
            <a:ext uri="{FF2B5EF4-FFF2-40B4-BE49-F238E27FC236}">
              <a16:creationId xmlns:a16="http://schemas.microsoft.com/office/drawing/2014/main" id="{B4C1ED45-0B0D-425A-146F-0ED181687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429261</xdr:colOff>
      <xdr:row>62</xdr:row>
      <xdr:rowOff>160020</xdr:rowOff>
    </xdr:to>
    <xdr:sp macro="" textlink="">
      <xdr:nvSpPr>
        <xdr:cNvPr id="13" name="aiNote">
          <a:extLst>
            <a:ext uri="{FF2B5EF4-FFF2-40B4-BE49-F238E27FC236}">
              <a16:creationId xmlns:a16="http://schemas.microsoft.com/office/drawing/2014/main" id="{D965A1C6-4D05-E05E-4468-C0F5AA484782}"/>
            </a:ext>
          </a:extLst>
        </xdr:cNvPr>
        <xdr:cNvSpPr/>
      </xdr:nvSpPr>
      <xdr:spPr>
        <a:xfrm>
          <a:off x="9433560" y="7277100"/>
          <a:ext cx="5969001" cy="4191000"/>
        </a:xfrm>
        <a:prstGeom prst="roundRect">
          <a:avLst>
            <a:gd name="adj" fmla="val 3000"/>
          </a:avLst>
        </a:prstGeom>
        <a:solidFill>
          <a:srgbClr val="F8F4FC"/>
        </a:solidFill>
        <a:ln>
          <a:solidFill>
            <a:srgbClr val="703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27000" rIns="152400" rtlCol="0" anchor="t"/>
        <a:lstStyle/>
        <a:p>
          <a:pPr algn="l"/>
          <a:r>
            <a:rPr lang="en-IN" sz="1200" b="1">
              <a:solidFill>
                <a:srgbClr val="7030A0"/>
              </a:solidFill>
            </a:rPr>
            <a:t>AI NOTE</a:t>
          </a:r>
        </a:p>
        <a:p>
          <a:pPr algn="l"/>
          <a:r>
            <a:rPr lang="en-IN" sz="1000" b="0">
              <a:solidFill>
                <a:srgbClr val="282828"/>
              </a:solidFill>
            </a:rPr>
            <a:t>Click 'AI Commentary' for a plain-language portfolio and tax note (needs the Claude API key on the Settings sheet).</a:t>
          </a:r>
        </a:p>
      </xdr:txBody>
    </xdr:sp>
    <xdr:clientData/>
  </xdr:twoCellAnchor>
  <xdr:twoCellAnchor editAs="absolute">
    <xdr:from>
      <xdr:col>8</xdr:col>
      <xdr:colOff>363220</xdr:colOff>
      <xdr:row>0</xdr:row>
      <xdr:rowOff>101600</xdr:rowOff>
    </xdr:from>
    <xdr:to>
      <xdr:col>9</xdr:col>
      <xdr:colOff>640080</xdr:colOff>
      <xdr:row>1</xdr:row>
      <xdr:rowOff>165100</xdr:rowOff>
    </xdr:to>
    <xdr:sp macro="CG_Run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7EB2080E-3844-8D5B-4516-32FE3A13AB75}"/>
            </a:ext>
          </a:extLst>
        </xdr:cNvPr>
        <xdr:cNvSpPr/>
      </xdr:nvSpPr>
      <xdr:spPr>
        <a:xfrm>
          <a:off x="8128000" y="101600"/>
          <a:ext cx="1016000" cy="330200"/>
        </a:xfrm>
        <a:prstGeom prst="roundRect">
          <a:avLst>
            <a:gd name="adj" fmla="val 12000"/>
          </a:avLst>
        </a:prstGeom>
        <a:solidFill>
          <a:srgbClr val="54823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rgbClr val="FFFFFF"/>
              </a:solidFill>
            </a:rPr>
            <a:t>Refresh</a:t>
          </a:r>
        </a:p>
      </xdr:txBody>
    </xdr:sp>
    <xdr:clientData/>
  </xdr:twoCellAnchor>
  <xdr:twoCellAnchor editAs="absolute">
    <xdr:from>
      <xdr:col>9</xdr:col>
      <xdr:colOff>716280</xdr:colOff>
      <xdr:row>0</xdr:row>
      <xdr:rowOff>101600</xdr:rowOff>
    </xdr:from>
    <xdr:to>
      <xdr:col>11</xdr:col>
      <xdr:colOff>1310640</xdr:colOff>
      <xdr:row>1</xdr:row>
      <xdr:rowOff>165100</xdr:rowOff>
    </xdr:to>
    <xdr:sp macro="AI_Commentary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5BEA42EF-D33A-60DC-B3F1-04167483CA74}"/>
            </a:ext>
          </a:extLst>
        </xdr:cNvPr>
        <xdr:cNvSpPr/>
      </xdr:nvSpPr>
      <xdr:spPr>
        <a:xfrm>
          <a:off x="9220200" y="101600"/>
          <a:ext cx="1524000" cy="330200"/>
        </a:xfrm>
        <a:prstGeom prst="roundRect">
          <a:avLst>
            <a:gd name="adj" fmla="val 12000"/>
          </a:avLst>
        </a:prstGeom>
        <a:solidFill>
          <a:srgbClr val="7030A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rgbClr val="FFFFFF"/>
              </a:solidFill>
            </a:rPr>
            <a:t>AI Commentary</a:t>
          </a:r>
        </a:p>
      </xdr:txBody>
    </xdr:sp>
    <xdr:clientData/>
  </xdr:twoCellAnchor>
  <xdr:twoCellAnchor editAs="absolute">
    <xdr:from>
      <xdr:col>11</xdr:col>
      <xdr:colOff>1386840</xdr:colOff>
      <xdr:row>0</xdr:row>
      <xdr:rowOff>101600</xdr:rowOff>
    </xdr:from>
    <xdr:to>
      <xdr:col>11</xdr:col>
      <xdr:colOff>2148840</xdr:colOff>
      <xdr:row>1</xdr:row>
      <xdr:rowOff>165100</xdr:rowOff>
    </xdr:to>
    <xdr:sp macro="Stk_Home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3AE39F63-5474-2B0B-4576-B4ED85AA58A6}"/>
            </a:ext>
          </a:extLst>
        </xdr:cNvPr>
        <xdr:cNvSpPr/>
      </xdr:nvSpPr>
      <xdr:spPr>
        <a:xfrm>
          <a:off x="10820400" y="101600"/>
          <a:ext cx="762000" cy="330200"/>
        </a:xfrm>
        <a:prstGeom prst="roundRect">
          <a:avLst>
            <a:gd name="adj" fmla="val 12000"/>
          </a:avLst>
        </a:prstGeom>
        <a:solidFill>
          <a:srgbClr val="59595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rgbClr val="FFFFFF"/>
              </a:solidFill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50800</xdr:colOff>
      <xdr:row>1</xdr:row>
      <xdr:rowOff>124460</xdr:rowOff>
    </xdr:from>
    <xdr:to>
      <xdr:col>3</xdr:col>
      <xdr:colOff>1320800</xdr:colOff>
      <xdr:row>3</xdr:row>
      <xdr:rowOff>55880</xdr:rowOff>
    </xdr:to>
    <xdr:sp macro="CG_FYChange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826BF48-AE8B-DE69-E44A-F5A53A006789}"/>
            </a:ext>
          </a:extLst>
        </xdr:cNvPr>
        <xdr:cNvSpPr/>
      </xdr:nvSpPr>
      <xdr:spPr>
        <a:xfrm>
          <a:off x="6931660" y="391160"/>
          <a:ext cx="1270000" cy="304800"/>
        </a:xfrm>
        <a:prstGeom prst="roundRect">
          <a:avLst>
            <a:gd name="adj" fmla="val 12000"/>
          </a:avLst>
        </a:prstGeom>
        <a:solidFill>
          <a:srgbClr val="54823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rgbClr val="FFFFFF"/>
              </a:solidFill>
            </a:rPr>
            <a:t>Show this FY</a:t>
          </a:r>
        </a:p>
      </xdr:txBody>
    </xdr:sp>
    <xdr:clientData/>
  </xdr:twoCellAnchor>
  <xdr:twoCellAnchor editAs="absolute">
    <xdr:from>
      <xdr:col>3</xdr:col>
      <xdr:colOff>1397000</xdr:colOff>
      <xdr:row>1</xdr:row>
      <xdr:rowOff>124460</xdr:rowOff>
    </xdr:from>
    <xdr:to>
      <xdr:col>4</xdr:col>
      <xdr:colOff>734060</xdr:colOff>
      <xdr:row>3</xdr:row>
      <xdr:rowOff>55880</xdr:rowOff>
    </xdr:to>
    <xdr:sp macro="Stk_Hom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142B39A-4866-11FE-2CEA-B925C589E24C}"/>
            </a:ext>
          </a:extLst>
        </xdr:cNvPr>
        <xdr:cNvSpPr/>
      </xdr:nvSpPr>
      <xdr:spPr>
        <a:xfrm>
          <a:off x="8277860" y="391160"/>
          <a:ext cx="762000" cy="304800"/>
        </a:xfrm>
        <a:prstGeom prst="roundRect">
          <a:avLst>
            <a:gd name="adj" fmla="val 12000"/>
          </a:avLst>
        </a:prstGeom>
        <a:solidFill>
          <a:srgbClr val="59595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rgbClr val="FFFFFF"/>
              </a:solidFill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924560</xdr:colOff>
      <xdr:row>0</xdr:row>
      <xdr:rowOff>50800</xdr:rowOff>
    </xdr:from>
    <xdr:to>
      <xdr:col>10</xdr:col>
      <xdr:colOff>109220</xdr:colOff>
      <xdr:row>1</xdr:row>
      <xdr:rowOff>114300</xdr:rowOff>
    </xdr:to>
    <xdr:sp macro="CG_Ru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2CF8B9F-99EB-ECD5-B080-678E2F3A04C1}"/>
            </a:ext>
          </a:extLst>
        </xdr:cNvPr>
        <xdr:cNvSpPr/>
      </xdr:nvSpPr>
      <xdr:spPr>
        <a:xfrm>
          <a:off x="7112000" y="50800"/>
          <a:ext cx="1905000" cy="330200"/>
        </a:xfrm>
        <a:prstGeom prst="roundRect">
          <a:avLst>
            <a:gd name="adj" fmla="val 12000"/>
          </a:avLst>
        </a:prstGeom>
        <a:solidFill>
          <a:srgbClr val="54823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rgbClr val="FFFFFF"/>
              </a:solidFill>
            </a:rPr>
            <a:t>Compute Gains + X-Ray</a:t>
          </a:r>
        </a:p>
      </xdr:txBody>
    </xdr:sp>
    <xdr:clientData/>
  </xdr:twoCellAnchor>
  <xdr:twoCellAnchor editAs="absolute">
    <xdr:from>
      <xdr:col>10</xdr:col>
      <xdr:colOff>185420</xdr:colOff>
      <xdr:row>0</xdr:row>
      <xdr:rowOff>50800</xdr:rowOff>
    </xdr:from>
    <xdr:to>
      <xdr:col>12</xdr:col>
      <xdr:colOff>490220</xdr:colOff>
      <xdr:row>1</xdr:row>
      <xdr:rowOff>114300</xdr:rowOff>
    </xdr:to>
    <xdr:sp macro="Stk_ImportCSV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8202C6A-0057-2915-C46C-05249B5A5DEA}"/>
            </a:ext>
          </a:extLst>
        </xdr:cNvPr>
        <xdr:cNvSpPr/>
      </xdr:nvSpPr>
      <xdr:spPr>
        <a:xfrm>
          <a:off x="9093200" y="50800"/>
          <a:ext cx="1524000" cy="330200"/>
        </a:xfrm>
        <a:prstGeom prst="roundRect">
          <a:avLst>
            <a:gd name="adj" fmla="val 12000"/>
          </a:avLst>
        </a:prstGeom>
        <a:solidFill>
          <a:srgbClr val="2E75B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rgbClr val="FFFFFF"/>
              </a:solidFill>
            </a:rPr>
            <a:t>Import Broker CSV</a:t>
          </a:r>
        </a:p>
      </xdr:txBody>
    </xdr:sp>
    <xdr:clientData/>
  </xdr:twoCellAnchor>
  <xdr:twoCellAnchor editAs="absolute">
    <xdr:from>
      <xdr:col>12</xdr:col>
      <xdr:colOff>566420</xdr:colOff>
      <xdr:row>0</xdr:row>
      <xdr:rowOff>50800</xdr:rowOff>
    </xdr:from>
    <xdr:to>
      <xdr:col>14</xdr:col>
      <xdr:colOff>109220</xdr:colOff>
      <xdr:row>1</xdr:row>
      <xdr:rowOff>114300</xdr:rowOff>
    </xdr:to>
    <xdr:sp macro="Stk_Hom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57CBC3D-87DC-854D-2714-47CF70C60C10}"/>
            </a:ext>
          </a:extLst>
        </xdr:cNvPr>
        <xdr:cNvSpPr/>
      </xdr:nvSpPr>
      <xdr:spPr>
        <a:xfrm>
          <a:off x="10693400" y="50800"/>
          <a:ext cx="762000" cy="330200"/>
        </a:xfrm>
        <a:prstGeom prst="roundRect">
          <a:avLst>
            <a:gd name="adj" fmla="val 12000"/>
          </a:avLst>
        </a:prstGeom>
        <a:solidFill>
          <a:srgbClr val="59595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rgbClr val="FFFFFF"/>
              </a:solidFill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673100</xdr:colOff>
      <xdr:row>0</xdr:row>
      <xdr:rowOff>50800</xdr:rowOff>
    </xdr:from>
    <xdr:to>
      <xdr:col>6</xdr:col>
      <xdr:colOff>558800</xdr:colOff>
      <xdr:row>1</xdr:row>
      <xdr:rowOff>114300</xdr:rowOff>
    </xdr:to>
    <xdr:sp macro="Stk_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2FBF2C3-1C90-946F-D741-D21270A50B50}"/>
            </a:ext>
          </a:extLst>
        </xdr:cNvPr>
        <xdr:cNvSpPr/>
      </xdr:nvSpPr>
      <xdr:spPr>
        <a:xfrm>
          <a:off x="7112000" y="50800"/>
          <a:ext cx="762000" cy="330200"/>
        </a:xfrm>
        <a:prstGeom prst="roundRect">
          <a:avLst>
            <a:gd name="adj" fmla="val 12000"/>
          </a:avLst>
        </a:prstGeom>
        <a:solidFill>
          <a:srgbClr val="59595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rgbClr val="FFFFFF"/>
              </a:solidFill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13C5D-88DD-4F07-93AC-63DD9D3556A0}">
  <sheetPr codeName="Sheet1"/>
  <dimension ref="B16:B23"/>
  <sheetViews>
    <sheetView showGridLines="0" showRowColHeaders="0" tabSelected="1" workbookViewId="0"/>
  </sheetViews>
  <sheetFormatPr defaultRowHeight="14.4" x14ac:dyDescent="0.3"/>
  <cols>
    <col min="1" max="1" width="2.77734375" style="29" customWidth="1"/>
    <col min="2" max="16384" width="8.88671875" style="29"/>
  </cols>
  <sheetData>
    <row r="16" spans="2:2" ht="15.6" x14ac:dyDescent="0.3">
      <c r="B16" s="30" t="s">
        <v>205</v>
      </c>
    </row>
    <row r="17" spans="2:2" x14ac:dyDescent="0.3">
      <c r="B17" s="31" t="s">
        <v>206</v>
      </c>
    </row>
    <row r="18" spans="2:2" x14ac:dyDescent="0.3">
      <c r="B18" s="31" t="s">
        <v>207</v>
      </c>
    </row>
    <row r="19" spans="2:2" x14ac:dyDescent="0.3">
      <c r="B19" s="31" t="s">
        <v>208</v>
      </c>
    </row>
    <row r="20" spans="2:2" x14ac:dyDescent="0.3">
      <c r="B20" s="31" t="s">
        <v>209</v>
      </c>
    </row>
    <row r="21" spans="2:2" x14ac:dyDescent="0.3">
      <c r="B21" s="31" t="s">
        <v>210</v>
      </c>
    </row>
    <row r="23" spans="2:2" x14ac:dyDescent="0.3">
      <c r="B23" s="32" t="s">
        <v>211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628B0-AB9E-4B45-A5DC-3511285BFEB1}">
  <sheetPr codeName="Sheet2">
    <tabColor rgb="FF7030A0"/>
  </sheetPr>
  <dimension ref="A1:N43"/>
  <sheetViews>
    <sheetView showGridLines="0" zoomScale="90" zoomScaleNormal="90" workbookViewId="0"/>
  </sheetViews>
  <sheetFormatPr defaultRowHeight="13.8" x14ac:dyDescent="0.3"/>
  <cols>
    <col min="1" max="1" width="13.77734375" style="23" customWidth="1"/>
    <col min="2" max="2" width="26.77734375" style="23" customWidth="1"/>
    <col min="3" max="3" width="18.77734375" style="23" customWidth="1"/>
    <col min="4" max="10" width="10.77734375" style="23" customWidth="1"/>
    <col min="11" max="11" width="2.77734375" style="23" customWidth="1"/>
    <col min="12" max="12" width="80.77734375" style="23" customWidth="1"/>
    <col min="13" max="16384" width="8.88671875" style="23"/>
  </cols>
  <sheetData>
    <row r="1" spans="1:14" ht="21" x14ac:dyDescent="0.4">
      <c r="A1" s="22" t="s">
        <v>196</v>
      </c>
      <c r="N1" s="28">
        <v>0.12662295699119563</v>
      </c>
    </row>
    <row r="2" spans="1:14" x14ac:dyDescent="0.3">
      <c r="A2" s="24"/>
    </row>
    <row r="3" spans="1:14" x14ac:dyDescent="0.3">
      <c r="A3" s="25" t="s">
        <v>260</v>
      </c>
    </row>
    <row r="4" spans="1:14" ht="15" customHeight="1" x14ac:dyDescent="0.3"/>
    <row r="5" spans="1:14" ht="15" customHeight="1" x14ac:dyDescent="0.3"/>
    <row r="6" spans="1:14" ht="15" customHeight="1" x14ac:dyDescent="0.3"/>
    <row r="7" spans="1:14" ht="15" customHeight="1" x14ac:dyDescent="0.3"/>
    <row r="8" spans="1:14" ht="15" customHeight="1" x14ac:dyDescent="0.3"/>
    <row r="9" spans="1:14" ht="15" customHeight="1" x14ac:dyDescent="0.3"/>
    <row r="10" spans="1:14" ht="15" customHeight="1" x14ac:dyDescent="0.3"/>
    <row r="11" spans="1:14" ht="15" customHeight="1" x14ac:dyDescent="0.3"/>
    <row r="12" spans="1:14" ht="15" customHeight="1" x14ac:dyDescent="0.3"/>
    <row r="13" spans="1:14" ht="15" customHeight="1" x14ac:dyDescent="0.3"/>
    <row r="14" spans="1:14" ht="15" customHeight="1" x14ac:dyDescent="0.3"/>
    <row r="15" spans="1:14" ht="15" customHeight="1" x14ac:dyDescent="0.3"/>
    <row r="16" spans="1:14" ht="15" customHeight="1" x14ac:dyDescent="0.3"/>
    <row r="17" spans="1:12" ht="15" customHeight="1" x14ac:dyDescent="0.3"/>
    <row r="18" spans="1:12" ht="15" customHeight="1" x14ac:dyDescent="0.3"/>
    <row r="19" spans="1:12" ht="15" customHeight="1" x14ac:dyDescent="0.3"/>
    <row r="20" spans="1:12" ht="15" customHeight="1" x14ac:dyDescent="0.3"/>
    <row r="21" spans="1:12" ht="15" customHeight="1" x14ac:dyDescent="0.3"/>
    <row r="22" spans="1:12" ht="15" customHeight="1" x14ac:dyDescent="0.3"/>
    <row r="23" spans="1:12" ht="15" customHeight="1" x14ac:dyDescent="0.3"/>
    <row r="24" spans="1:12" ht="15" customHeight="1" x14ac:dyDescent="0.3"/>
    <row r="25" spans="1:12" ht="15" customHeight="1" x14ac:dyDescent="0.3"/>
    <row r="26" spans="1:12" ht="15" customHeight="1" x14ac:dyDescent="0.3"/>
    <row r="27" spans="1:12" x14ac:dyDescent="0.3">
      <c r="A27" s="26" t="s">
        <v>1</v>
      </c>
      <c r="B27" s="26" t="s">
        <v>80</v>
      </c>
      <c r="C27" s="26" t="s">
        <v>81</v>
      </c>
      <c r="D27" s="26" t="s">
        <v>4</v>
      </c>
      <c r="E27" s="26" t="s">
        <v>199</v>
      </c>
      <c r="F27" s="26" t="s">
        <v>117</v>
      </c>
      <c r="G27" s="26" t="s">
        <v>200</v>
      </c>
      <c r="H27" s="26" t="s">
        <v>201</v>
      </c>
      <c r="I27" s="26" t="s">
        <v>202</v>
      </c>
      <c r="J27" s="26" t="s">
        <v>203</v>
      </c>
      <c r="L27" s="27" t="s">
        <v>204</v>
      </c>
    </row>
    <row r="28" spans="1:12" ht="14.4" x14ac:dyDescent="0.3">
      <c r="A28" t="s">
        <v>27</v>
      </c>
      <c r="B28" t="s">
        <v>93</v>
      </c>
      <c r="C28" t="s">
        <v>88</v>
      </c>
      <c r="D28">
        <v>200</v>
      </c>
      <c r="E28" s="38">
        <v>38033</v>
      </c>
      <c r="F28" s="38">
        <v>164000</v>
      </c>
      <c r="G28" s="39">
        <v>125967</v>
      </c>
      <c r="H28" s="58">
        <v>3.3120073893082722</v>
      </c>
      <c r="I28" s="58">
        <v>0.16666666666666666</v>
      </c>
      <c r="J28" s="58">
        <v>0.27089173078536993</v>
      </c>
      <c r="L28" s="23" t="s">
        <v>259</v>
      </c>
    </row>
    <row r="29" spans="1:12" ht="14.4" x14ac:dyDescent="0.3">
      <c r="A29" t="s">
        <v>10</v>
      </c>
      <c r="B29" t="s">
        <v>83</v>
      </c>
      <c r="C29" t="s">
        <v>84</v>
      </c>
      <c r="D29">
        <v>70</v>
      </c>
      <c r="E29" s="38">
        <v>80471</v>
      </c>
      <c r="F29" s="38">
        <v>101500</v>
      </c>
      <c r="G29" s="39">
        <v>21029</v>
      </c>
      <c r="H29" s="58">
        <v>0.26132395521367946</v>
      </c>
      <c r="I29" s="58">
        <v>0.10315040650406504</v>
      </c>
      <c r="J29" s="58">
        <v>9.6035910844802869E-2</v>
      </c>
    </row>
    <row r="30" spans="1:12" ht="14.4" x14ac:dyDescent="0.3">
      <c r="A30" t="s">
        <v>23</v>
      </c>
      <c r="B30" t="s">
        <v>110</v>
      </c>
      <c r="C30" t="s">
        <v>111</v>
      </c>
      <c r="D30">
        <v>1000</v>
      </c>
      <c r="E30" s="38">
        <v>30000</v>
      </c>
      <c r="F30" s="38">
        <v>85000</v>
      </c>
      <c r="G30" s="39">
        <v>55000</v>
      </c>
      <c r="H30" s="58">
        <v>1.8333333333333333</v>
      </c>
      <c r="I30" s="58">
        <v>8.6382113821138209E-2</v>
      </c>
      <c r="J30" s="58">
        <v>0.14818115115165711</v>
      </c>
    </row>
    <row r="31" spans="1:12" ht="14.4" x14ac:dyDescent="0.3">
      <c r="A31" t="s">
        <v>40</v>
      </c>
      <c r="B31" t="s">
        <v>94</v>
      </c>
      <c r="C31" t="s">
        <v>95</v>
      </c>
      <c r="D31">
        <v>90</v>
      </c>
      <c r="E31" s="38">
        <v>70560</v>
      </c>
      <c r="F31" s="38">
        <v>81000</v>
      </c>
      <c r="G31" s="39">
        <v>10440</v>
      </c>
      <c r="H31" s="58">
        <v>0.14795918367346939</v>
      </c>
      <c r="I31" s="58">
        <v>8.2317073170731711E-2</v>
      </c>
      <c r="J31" s="58">
        <v>7.3540717363357572E-2</v>
      </c>
    </row>
    <row r="32" spans="1:12" ht="14.4" x14ac:dyDescent="0.3">
      <c r="A32" t="s">
        <v>21</v>
      </c>
      <c r="B32" t="s">
        <v>89</v>
      </c>
      <c r="C32" t="s">
        <v>86</v>
      </c>
      <c r="D32">
        <v>50</v>
      </c>
      <c r="E32" s="38">
        <v>64353</v>
      </c>
      <c r="F32" s="38">
        <v>75000</v>
      </c>
      <c r="G32" s="39">
        <v>10647</v>
      </c>
      <c r="H32" s="58">
        <v>0.16544085597435282</v>
      </c>
      <c r="I32" s="58">
        <v>7.621951219512195E-2</v>
      </c>
      <c r="J32" s="58">
        <v>7.7547615766525246E-2</v>
      </c>
    </row>
    <row r="33" spans="1:10" ht="14.4" x14ac:dyDescent="0.3">
      <c r="A33" t="s">
        <v>32</v>
      </c>
      <c r="B33" t="s">
        <v>96</v>
      </c>
      <c r="C33" t="s">
        <v>97</v>
      </c>
      <c r="D33">
        <v>20</v>
      </c>
      <c r="E33" s="38">
        <v>49543</v>
      </c>
      <c r="F33" s="38">
        <v>72000</v>
      </c>
      <c r="G33" s="39">
        <v>22458</v>
      </c>
      <c r="H33" s="58">
        <v>0.45329767371448754</v>
      </c>
      <c r="I33" s="58">
        <v>7.3170731707317069E-2</v>
      </c>
      <c r="J33" s="58">
        <v>0.16401466012001034</v>
      </c>
    </row>
    <row r="34" spans="1:10" ht="14.4" x14ac:dyDescent="0.3">
      <c r="A34" t="s">
        <v>65</v>
      </c>
      <c r="B34" t="s">
        <v>106</v>
      </c>
      <c r="C34" t="s">
        <v>107</v>
      </c>
      <c r="D34">
        <v>300</v>
      </c>
      <c r="E34" s="38">
        <v>78040</v>
      </c>
      <c r="F34" s="38">
        <v>70500</v>
      </c>
      <c r="G34" s="61">
        <v>-7540</v>
      </c>
      <c r="H34" s="58">
        <v>-9.6617119425935413E-2</v>
      </c>
      <c r="I34" s="58">
        <v>7.1646341463414628E-2</v>
      </c>
      <c r="J34" s="58">
        <v>-0.23566409766674043</v>
      </c>
    </row>
    <row r="35" spans="1:10" ht="14.4" x14ac:dyDescent="0.3">
      <c r="A35" t="s">
        <v>36</v>
      </c>
      <c r="B35" t="s">
        <v>99</v>
      </c>
      <c r="C35" t="s">
        <v>100</v>
      </c>
      <c r="D35">
        <v>40</v>
      </c>
      <c r="E35" s="38">
        <v>62043</v>
      </c>
      <c r="F35" s="38">
        <v>66000</v>
      </c>
      <c r="G35" s="39">
        <v>3958</v>
      </c>
      <c r="H35" s="58">
        <v>6.3786920256275942E-2</v>
      </c>
      <c r="I35" s="58">
        <v>6.7073170731707321E-2</v>
      </c>
      <c r="J35" s="58">
        <v>0.13457857489585875</v>
      </c>
    </row>
    <row r="36" spans="1:10" ht="14.4" x14ac:dyDescent="0.3">
      <c r="A36" t="s">
        <v>71</v>
      </c>
      <c r="B36" t="s">
        <v>108</v>
      </c>
      <c r="C36" t="s">
        <v>109</v>
      </c>
      <c r="D36">
        <v>50</v>
      </c>
      <c r="E36" s="38">
        <v>70030</v>
      </c>
      <c r="F36" s="38">
        <v>62500</v>
      </c>
      <c r="G36" s="61">
        <v>-7530</v>
      </c>
      <c r="H36" s="58">
        <v>-0.10752534628016565</v>
      </c>
      <c r="I36" s="58">
        <v>6.3516260162601632E-2</v>
      </c>
      <c r="J36" s="58">
        <v>-0.40106934249401094</v>
      </c>
    </row>
    <row r="37" spans="1:10" ht="14.4" x14ac:dyDescent="0.3">
      <c r="A37" t="s">
        <v>30</v>
      </c>
      <c r="B37" t="s">
        <v>91</v>
      </c>
      <c r="C37" t="s">
        <v>92</v>
      </c>
      <c r="D37">
        <v>15</v>
      </c>
      <c r="E37" s="38">
        <v>14265</v>
      </c>
      <c r="F37" s="38">
        <v>55500</v>
      </c>
      <c r="G37" s="39">
        <v>41235</v>
      </c>
      <c r="H37" s="58">
        <v>2.8906414300736065</v>
      </c>
      <c r="I37" s="58">
        <v>5.6402439024390245E-2</v>
      </c>
      <c r="J37" s="58">
        <v>0.25841940164566041</v>
      </c>
    </row>
    <row r="38" spans="1:10" ht="14.4" x14ac:dyDescent="0.3">
      <c r="A38" t="s">
        <v>17</v>
      </c>
      <c r="B38" t="s">
        <v>17</v>
      </c>
      <c r="C38" t="s">
        <v>90</v>
      </c>
      <c r="D38">
        <v>100</v>
      </c>
      <c r="E38" s="38">
        <v>28025</v>
      </c>
      <c r="F38" s="38">
        <v>41000</v>
      </c>
      <c r="G38" s="39">
        <v>12975</v>
      </c>
      <c r="H38" s="58">
        <v>0.46297948260481714</v>
      </c>
      <c r="I38" s="58">
        <v>4.1666666666666664E-2</v>
      </c>
      <c r="J38" s="58">
        <v>5.5023254156112658E-2</v>
      </c>
    </row>
    <row r="39" spans="1:10" ht="14.4" x14ac:dyDescent="0.3">
      <c r="A39" t="s">
        <v>19</v>
      </c>
      <c r="B39" t="s">
        <v>87</v>
      </c>
      <c r="C39" t="s">
        <v>88</v>
      </c>
      <c r="D39">
        <v>40</v>
      </c>
      <c r="E39" s="38">
        <v>38140</v>
      </c>
      <c r="F39" s="38">
        <v>40000</v>
      </c>
      <c r="G39" s="39">
        <v>1860</v>
      </c>
      <c r="H39" s="58">
        <v>4.8767697954902989E-2</v>
      </c>
      <c r="I39" s="58">
        <v>4.065040650406504E-2</v>
      </c>
      <c r="J39" s="58">
        <v>-8.3733737468719464E-4</v>
      </c>
    </row>
    <row r="40" spans="1:10" ht="14.4" x14ac:dyDescent="0.3">
      <c r="A40" t="s">
        <v>34</v>
      </c>
      <c r="B40" t="s">
        <v>98</v>
      </c>
      <c r="C40" t="s">
        <v>97</v>
      </c>
      <c r="D40">
        <v>15</v>
      </c>
      <c r="E40" s="38">
        <v>39038</v>
      </c>
      <c r="F40" s="38">
        <v>36000</v>
      </c>
      <c r="G40" s="61">
        <v>-3038</v>
      </c>
      <c r="H40" s="58">
        <v>-7.7829405100064517E-2</v>
      </c>
      <c r="I40" s="58">
        <v>3.6585365853658534E-2</v>
      </c>
      <c r="J40" s="58">
        <v>-4.2801865339279183E-2</v>
      </c>
    </row>
    <row r="41" spans="1:10" ht="14.4" x14ac:dyDescent="0.3">
      <c r="A41" t="s">
        <v>15</v>
      </c>
      <c r="B41" t="s">
        <v>85</v>
      </c>
      <c r="C41" t="s">
        <v>86</v>
      </c>
      <c r="D41">
        <v>10</v>
      </c>
      <c r="E41" s="38">
        <v>36030</v>
      </c>
      <c r="F41" s="38">
        <v>34000</v>
      </c>
      <c r="G41" s="61">
        <v>-2030</v>
      </c>
      <c r="H41" s="58">
        <v>-5.6341937274493478E-2</v>
      </c>
      <c r="I41" s="58">
        <v>3.4552845528455285E-2</v>
      </c>
      <c r="J41" s="58">
        <v>0.13264550328254701</v>
      </c>
    </row>
    <row r="42" spans="1:10" ht="14.4" x14ac:dyDescent="0.3">
      <c r="A42" s="42" t="s">
        <v>258</v>
      </c>
      <c r="B42" s="42"/>
      <c r="C42" s="42"/>
      <c r="D42" s="42"/>
      <c r="E42" s="62">
        <v>698571</v>
      </c>
      <c r="F42" s="62">
        <v>984000</v>
      </c>
      <c r="G42" s="62">
        <v>285429</v>
      </c>
      <c r="H42" s="63">
        <v>0.40858984138462434</v>
      </c>
      <c r="I42" s="63">
        <v>1</v>
      </c>
      <c r="J42" s="63">
        <v>0.12662295699119563</v>
      </c>
    </row>
    <row r="43" spans="1:10" ht="14.4" x14ac:dyDescent="0.3">
      <c r="A43"/>
      <c r="B43"/>
      <c r="C43"/>
      <c r="D43"/>
      <c r="E43"/>
      <c r="F43"/>
      <c r="G43"/>
      <c r="H43"/>
      <c r="I43"/>
      <c r="J4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A503D-0BA6-4FB5-B133-7007027E402F}">
  <sheetPr codeName="Sheet3">
    <tabColor rgb="FF548235"/>
  </sheetPr>
  <dimension ref="A1:G65"/>
  <sheetViews>
    <sheetView showGridLines="0" workbookViewId="0"/>
  </sheetViews>
  <sheetFormatPr defaultRowHeight="13.8" x14ac:dyDescent="0.3"/>
  <cols>
    <col min="1" max="1" width="2.77734375" style="3" customWidth="1"/>
    <col min="2" max="2" width="66.77734375" style="53" customWidth="1"/>
    <col min="3" max="3" width="30.77734375" style="3" customWidth="1"/>
    <col min="4" max="4" width="20.77734375" style="3" customWidth="1"/>
    <col min="5" max="5" width="14.77734375" style="3" customWidth="1"/>
    <col min="6" max="6" width="16.77734375" style="3" customWidth="1"/>
    <col min="7" max="7" width="44.77734375" style="3" customWidth="1"/>
    <col min="8" max="16384" width="8.88671875" style="3"/>
  </cols>
  <sheetData>
    <row r="1" spans="1:7" ht="21" x14ac:dyDescent="0.4">
      <c r="A1" s="4" t="s">
        <v>193</v>
      </c>
    </row>
    <row r="2" spans="1:7" x14ac:dyDescent="0.3">
      <c r="A2" s="5" t="s">
        <v>194</v>
      </c>
    </row>
    <row r="3" spans="1:7" ht="15.6" x14ac:dyDescent="0.3">
      <c r="B3" s="21" t="s">
        <v>195</v>
      </c>
      <c r="C3" s="40" t="s">
        <v>216</v>
      </c>
    </row>
    <row r="6" spans="1:7" ht="14.4" x14ac:dyDescent="0.3">
      <c r="A6"/>
      <c r="B6" s="41" t="s">
        <v>220</v>
      </c>
      <c r="C6" s="41" t="s">
        <v>221</v>
      </c>
      <c r="D6" s="41" t="s">
        <v>222</v>
      </c>
      <c r="E6" s="41" t="s">
        <v>223</v>
      </c>
      <c r="F6" s="41" t="s">
        <v>185</v>
      </c>
      <c r="G6" s="41" t="s">
        <v>224</v>
      </c>
    </row>
    <row r="7" spans="1:7" ht="14.4" x14ac:dyDescent="0.3">
      <c r="A7"/>
      <c r="B7" s="51" t="s">
        <v>225</v>
      </c>
      <c r="C7" s="43">
        <f>SUMIFS(CG_Lots!$Q:$Q,CG_Lots!$A:$A,$C$3,CG_Lots!$M:$M,"111A-15")</f>
        <v>0</v>
      </c>
      <c r="D7" s="43">
        <v>0</v>
      </c>
      <c r="E7" s="43">
        <v>0</v>
      </c>
      <c r="F7" s="36">
        <v>0.15</v>
      </c>
      <c r="G7" s="45">
        <v>0</v>
      </c>
    </row>
    <row r="8" spans="1:7" ht="14.4" x14ac:dyDescent="0.3">
      <c r="A8"/>
      <c r="B8" s="51" t="s">
        <v>226</v>
      </c>
      <c r="C8" s="43">
        <f>SUMIFS(CG_Lots!$Q:$Q,CG_Lots!$A:$A,$C$3,CG_Lots!$M:$M,"111A-20")</f>
        <v>31355</v>
      </c>
      <c r="D8" s="43">
        <v>31355</v>
      </c>
      <c r="E8" s="43">
        <v>31355</v>
      </c>
      <c r="F8" s="36">
        <v>0.2</v>
      </c>
      <c r="G8" s="45">
        <v>6271</v>
      </c>
    </row>
    <row r="9" spans="1:7" ht="14.4" x14ac:dyDescent="0.3">
      <c r="A9"/>
      <c r="B9" s="51" t="s">
        <v>227</v>
      </c>
      <c r="C9" s="43">
        <f>SUMIFS(CG_Lots!$Q:$Q,CG_Lots!$A:$A,$C$3,CG_Lots!$M:$M,"Slab")</f>
        <v>8000</v>
      </c>
      <c r="D9" s="43">
        <v>8000</v>
      </c>
      <c r="E9" s="43">
        <v>8000</v>
      </c>
      <c r="F9" s="36">
        <v>0.3</v>
      </c>
      <c r="G9" s="45">
        <v>2400</v>
      </c>
    </row>
    <row r="10" spans="1:7" ht="14.4" x14ac:dyDescent="0.3">
      <c r="A10"/>
      <c r="B10" s="51" t="s">
        <v>228</v>
      </c>
      <c r="C10" s="43">
        <f>SUMIFS(CG_Lots!$Q:$Q,CG_Lots!$A:$A,$C$3,CG_Lots!$M:$M,"112A-10")</f>
        <v>0</v>
      </c>
      <c r="D10" s="43">
        <v>0</v>
      </c>
      <c r="E10" s="43">
        <v>0</v>
      </c>
      <c r="F10" s="36">
        <v>0.1</v>
      </c>
      <c r="G10" s="45">
        <v>0</v>
      </c>
    </row>
    <row r="11" spans="1:7" ht="14.4" x14ac:dyDescent="0.3">
      <c r="A11"/>
      <c r="B11" s="51" t="s">
        <v>229</v>
      </c>
      <c r="C11" s="43">
        <f>SUMIFS(CG_Lots!$Q:$Q,CG_Lots!$A:$A,$C$3,CG_Lots!$M:$M,"112A-12.5")</f>
        <v>155135.99</v>
      </c>
      <c r="D11" s="43">
        <v>155135.99</v>
      </c>
      <c r="E11" s="43">
        <v>30135.99</v>
      </c>
      <c r="F11" s="36">
        <v>0.125</v>
      </c>
      <c r="G11" s="45">
        <v>3767</v>
      </c>
    </row>
    <row r="12" spans="1:7" ht="14.4" x14ac:dyDescent="0.3">
      <c r="A12"/>
      <c r="B12" s="51" t="s">
        <v>230</v>
      </c>
      <c r="C12" s="43">
        <f>SUMIFS(CG_Lots!$Q:$Q,CG_Lots!$A:$A,$C$3,CG_Lots!$M:$M,"LT-12.5")</f>
        <v>0</v>
      </c>
      <c r="D12" s="43">
        <v>0</v>
      </c>
      <c r="E12" s="43">
        <v>0</v>
      </c>
      <c r="F12" s="36">
        <v>0.125</v>
      </c>
      <c r="G12" s="45">
        <v>0</v>
      </c>
    </row>
    <row r="13" spans="1:7" ht="14.4" x14ac:dyDescent="0.3">
      <c r="A13"/>
      <c r="B13" s="54" t="s">
        <v>231</v>
      </c>
      <c r="C13" s="44">
        <f>SUM(C7:C12)</f>
        <v>194490.99</v>
      </c>
      <c r="D13" s="44">
        <f>SUM(D7:D12)</f>
        <v>194490.99</v>
      </c>
      <c r="E13" s="44">
        <f>SUM(E7:E12)</f>
        <v>69490.990000000005</v>
      </c>
      <c r="F13" s="42"/>
      <c r="G13" s="46">
        <f>SUM(G7:G12)</f>
        <v>12438</v>
      </c>
    </row>
    <row r="14" spans="1:7" ht="14.4" x14ac:dyDescent="0.3">
      <c r="A14"/>
      <c r="B14" s="51"/>
      <c r="C14"/>
      <c r="D14"/>
      <c r="E14"/>
      <c r="F14"/>
      <c r="G14"/>
    </row>
    <row r="15" spans="1:7" ht="14.4" x14ac:dyDescent="0.3">
      <c r="A15"/>
      <c r="B15" s="51" t="s">
        <v>232</v>
      </c>
      <c r="C15"/>
      <c r="D15"/>
      <c r="E15"/>
      <c r="F15"/>
      <c r="G15" s="45">
        <v>125000</v>
      </c>
    </row>
    <row r="16" spans="1:7" ht="14.4" x14ac:dyDescent="0.3">
      <c r="A16"/>
      <c r="B16" s="51" t="s">
        <v>233</v>
      </c>
      <c r="C16"/>
      <c r="D16"/>
      <c r="E16"/>
      <c r="F16"/>
      <c r="G16" s="45">
        <v>12438</v>
      </c>
    </row>
    <row r="17" spans="1:7" ht="14.4" x14ac:dyDescent="0.3">
      <c r="A17"/>
      <c r="B17" s="51" t="s">
        <v>234</v>
      </c>
      <c r="C17"/>
      <c r="D17"/>
      <c r="E17"/>
      <c r="F17"/>
      <c r="G17" s="45">
        <v>497.52</v>
      </c>
    </row>
    <row r="18" spans="1:7" ht="17.399999999999999" x14ac:dyDescent="0.35">
      <c r="A18"/>
      <c r="B18" s="55" t="s">
        <v>235</v>
      </c>
      <c r="C18" s="48"/>
      <c r="D18" s="48"/>
      <c r="E18" s="48"/>
      <c r="F18" s="48"/>
      <c r="G18" s="49">
        <v>12936</v>
      </c>
    </row>
    <row r="19" spans="1:7" ht="14.4" x14ac:dyDescent="0.3">
      <c r="A19"/>
      <c r="B19" s="51"/>
      <c r="C19"/>
      <c r="D19"/>
      <c r="E19"/>
      <c r="F19"/>
      <c r="G19"/>
    </row>
    <row r="20" spans="1:7" ht="15.6" x14ac:dyDescent="0.3">
      <c r="A20"/>
      <c r="B20" s="56" t="s">
        <v>236</v>
      </c>
      <c r="C20"/>
      <c r="D20"/>
      <c r="E20"/>
      <c r="F20"/>
      <c r="G20"/>
    </row>
    <row r="21" spans="1:7" ht="14.4" x14ac:dyDescent="0.3">
      <c r="A21"/>
      <c r="B21" s="50" t="s">
        <v>237</v>
      </c>
      <c r="C21" s="50" t="s">
        <v>238</v>
      </c>
      <c r="D21" s="50" t="s">
        <v>239</v>
      </c>
      <c r="E21" s="50" t="s">
        <v>240</v>
      </c>
      <c r="F21" s="50" t="s">
        <v>241</v>
      </c>
      <c r="G21" s="50" t="s">
        <v>242</v>
      </c>
    </row>
    <row r="22" spans="1:7" ht="14.4" x14ac:dyDescent="0.3">
      <c r="A22"/>
      <c r="B22" s="51" t="s">
        <v>243</v>
      </c>
      <c r="C22" t="s">
        <v>244</v>
      </c>
      <c r="D22" s="43">
        <v>-7540</v>
      </c>
      <c r="E22" t="s">
        <v>217</v>
      </c>
      <c r="F22" s="45">
        <v>1568</v>
      </c>
      <c r="G22" s="51" t="s">
        <v>245</v>
      </c>
    </row>
    <row r="23" spans="1:7" ht="14.4" x14ac:dyDescent="0.3">
      <c r="A23"/>
      <c r="B23" s="51" t="s">
        <v>243</v>
      </c>
      <c r="C23" t="s">
        <v>246</v>
      </c>
      <c r="D23" s="43">
        <v>-7530</v>
      </c>
      <c r="E23" t="s">
        <v>217</v>
      </c>
      <c r="F23" s="45">
        <v>1566</v>
      </c>
      <c r="G23" s="51" t="s">
        <v>245</v>
      </c>
    </row>
    <row r="24" spans="1:7" ht="14.4" x14ac:dyDescent="0.3">
      <c r="A24"/>
      <c r="B24" s="51" t="s">
        <v>243</v>
      </c>
      <c r="C24" t="s">
        <v>247</v>
      </c>
      <c r="D24" s="43">
        <v>-3935</v>
      </c>
      <c r="E24" t="s">
        <v>217</v>
      </c>
      <c r="F24" s="45">
        <v>818</v>
      </c>
      <c r="G24" s="51" t="s">
        <v>245</v>
      </c>
    </row>
    <row r="25" spans="1:7" ht="14.4" x14ac:dyDescent="0.3">
      <c r="A25"/>
      <c r="B25" s="51" t="s">
        <v>248</v>
      </c>
      <c r="C25" t="s">
        <v>249</v>
      </c>
      <c r="D25" s="43">
        <v>-4540</v>
      </c>
      <c r="E25" t="s">
        <v>213</v>
      </c>
      <c r="F25" s="45">
        <v>590</v>
      </c>
      <c r="G25" s="51" t="s">
        <v>250</v>
      </c>
    </row>
    <row r="26" spans="1:7" ht="14.4" x14ac:dyDescent="0.3">
      <c r="A26"/>
      <c r="B26" s="51" t="s">
        <v>248</v>
      </c>
      <c r="C26" t="s">
        <v>251</v>
      </c>
      <c r="D26" s="43">
        <v>-4513.33</v>
      </c>
      <c r="E26" t="s">
        <v>213</v>
      </c>
      <c r="F26" s="45">
        <v>587</v>
      </c>
      <c r="G26" s="51" t="s">
        <v>250</v>
      </c>
    </row>
    <row r="27" spans="1:7" ht="14.4" x14ac:dyDescent="0.3">
      <c r="A27"/>
      <c r="B27" s="51" t="s">
        <v>243</v>
      </c>
      <c r="C27" t="s">
        <v>252</v>
      </c>
      <c r="D27" s="43">
        <v>-2030</v>
      </c>
      <c r="E27" t="s">
        <v>217</v>
      </c>
      <c r="F27" s="45">
        <v>422</v>
      </c>
      <c r="G27" s="51" t="s">
        <v>245</v>
      </c>
    </row>
    <row r="28" spans="1:7" ht="14.4" x14ac:dyDescent="0.3">
      <c r="A28"/>
      <c r="B28" s="51" t="s">
        <v>243</v>
      </c>
      <c r="C28" t="s">
        <v>253</v>
      </c>
      <c r="D28" s="43">
        <v>-2030</v>
      </c>
      <c r="E28" t="s">
        <v>217</v>
      </c>
      <c r="F28" s="45">
        <v>422</v>
      </c>
      <c r="G28" s="51" t="s">
        <v>245</v>
      </c>
    </row>
    <row r="29" spans="1:7" ht="14.4" x14ac:dyDescent="0.3">
      <c r="A29"/>
      <c r="B29" s="51" t="s">
        <v>243</v>
      </c>
      <c r="C29" t="s">
        <v>254</v>
      </c>
      <c r="D29" s="43">
        <v>-1530</v>
      </c>
      <c r="E29" t="s">
        <v>217</v>
      </c>
      <c r="F29" s="45">
        <v>318</v>
      </c>
      <c r="G29" s="51" t="s">
        <v>245</v>
      </c>
    </row>
    <row r="30" spans="1:7" ht="14.4" x14ac:dyDescent="0.3">
      <c r="A30"/>
      <c r="B30" s="51" t="s">
        <v>248</v>
      </c>
      <c r="C30" t="s">
        <v>255</v>
      </c>
      <c r="D30" s="43">
        <v>-510</v>
      </c>
      <c r="E30" t="s">
        <v>213</v>
      </c>
      <c r="F30" s="45">
        <v>66</v>
      </c>
      <c r="G30" s="51" t="s">
        <v>250</v>
      </c>
    </row>
    <row r="31" spans="1:7" ht="14.4" x14ac:dyDescent="0.3">
      <c r="A31"/>
      <c r="B31" s="55" t="s">
        <v>256</v>
      </c>
      <c r="C31" s="47"/>
      <c r="D31" s="47"/>
      <c r="E31" s="47"/>
      <c r="F31" s="52">
        <v>6357</v>
      </c>
      <c r="G31" s="47"/>
    </row>
    <row r="32" spans="1:7" ht="14.4" x14ac:dyDescent="0.3">
      <c r="A32"/>
      <c r="B32" s="51"/>
      <c r="C32"/>
      <c r="D32"/>
      <c r="E32"/>
      <c r="F32"/>
      <c r="G32"/>
    </row>
    <row r="33" spans="1:7" ht="14.4" x14ac:dyDescent="0.3">
      <c r="A33"/>
      <c r="B33" s="57" t="s">
        <v>257</v>
      </c>
      <c r="C33"/>
      <c r="D33"/>
      <c r="E33"/>
      <c r="F33"/>
      <c r="G33"/>
    </row>
    <row r="34" spans="1:7" ht="14.4" x14ac:dyDescent="0.3">
      <c r="A34"/>
      <c r="B34" s="51"/>
      <c r="C34"/>
      <c r="D34"/>
      <c r="E34"/>
      <c r="F34"/>
      <c r="G34"/>
    </row>
    <row r="35" spans="1:7" ht="14.4" x14ac:dyDescent="0.3">
      <c r="A35"/>
      <c r="B35" s="51"/>
      <c r="C35"/>
      <c r="D35"/>
      <c r="E35"/>
      <c r="F35"/>
      <c r="G35"/>
    </row>
    <row r="36" spans="1:7" ht="14.4" x14ac:dyDescent="0.3">
      <c r="A36"/>
      <c r="B36" s="51"/>
      <c r="C36"/>
      <c r="D36"/>
      <c r="E36"/>
      <c r="F36"/>
      <c r="G36"/>
    </row>
    <row r="37" spans="1:7" ht="14.4" x14ac:dyDescent="0.3">
      <c r="A37"/>
      <c r="B37" s="51"/>
      <c r="C37"/>
      <c r="D37"/>
      <c r="E37"/>
      <c r="F37"/>
      <c r="G37"/>
    </row>
    <row r="38" spans="1:7" ht="14.4" x14ac:dyDescent="0.3">
      <c r="A38"/>
      <c r="B38" s="51"/>
      <c r="C38"/>
      <c r="D38"/>
      <c r="E38"/>
      <c r="F38"/>
      <c r="G38"/>
    </row>
    <row r="39" spans="1:7" ht="14.4" x14ac:dyDescent="0.3">
      <c r="A39"/>
      <c r="B39" s="51"/>
      <c r="C39"/>
      <c r="D39"/>
      <c r="E39"/>
      <c r="F39"/>
      <c r="G39"/>
    </row>
    <row r="40" spans="1:7" ht="14.4" x14ac:dyDescent="0.3">
      <c r="A40"/>
      <c r="B40" s="51"/>
      <c r="C40"/>
      <c r="D40"/>
      <c r="E40"/>
      <c r="F40"/>
      <c r="G40"/>
    </row>
    <row r="41" spans="1:7" ht="14.4" x14ac:dyDescent="0.3">
      <c r="A41"/>
      <c r="B41" s="51"/>
      <c r="C41"/>
      <c r="D41"/>
      <c r="E41"/>
      <c r="F41"/>
      <c r="G41"/>
    </row>
    <row r="42" spans="1:7" ht="14.4" x14ac:dyDescent="0.3">
      <c r="A42"/>
      <c r="B42" s="51"/>
      <c r="C42"/>
      <c r="D42"/>
      <c r="E42"/>
      <c r="F42"/>
      <c r="G42"/>
    </row>
    <row r="43" spans="1:7" ht="14.4" x14ac:dyDescent="0.3">
      <c r="A43"/>
      <c r="B43" s="51"/>
      <c r="C43"/>
      <c r="D43"/>
      <c r="E43"/>
      <c r="F43"/>
      <c r="G43"/>
    </row>
    <row r="44" spans="1:7" ht="14.4" x14ac:dyDescent="0.3">
      <c r="A44"/>
      <c r="B44" s="51"/>
      <c r="C44"/>
      <c r="D44"/>
      <c r="E44"/>
      <c r="F44"/>
      <c r="G44"/>
    </row>
    <row r="45" spans="1:7" ht="14.4" x14ac:dyDescent="0.3">
      <c r="A45"/>
      <c r="B45" s="51"/>
      <c r="C45"/>
      <c r="D45"/>
      <c r="E45"/>
      <c r="F45"/>
      <c r="G45"/>
    </row>
    <row r="46" spans="1:7" ht="14.4" x14ac:dyDescent="0.3">
      <c r="A46"/>
      <c r="B46" s="51"/>
      <c r="C46"/>
      <c r="D46"/>
      <c r="E46"/>
      <c r="F46"/>
      <c r="G46"/>
    </row>
    <row r="47" spans="1:7" ht="14.4" x14ac:dyDescent="0.3">
      <c r="A47"/>
      <c r="B47" s="51"/>
      <c r="C47"/>
      <c r="D47"/>
      <c r="E47"/>
      <c r="F47"/>
      <c r="G47"/>
    </row>
    <row r="48" spans="1:7" ht="14.4" x14ac:dyDescent="0.3">
      <c r="A48"/>
      <c r="B48" s="51"/>
      <c r="C48"/>
      <c r="D48"/>
      <c r="E48"/>
      <c r="F48"/>
      <c r="G48"/>
    </row>
    <row r="49" spans="1:7" ht="14.4" x14ac:dyDescent="0.3">
      <c r="A49"/>
      <c r="B49" s="51"/>
      <c r="C49"/>
      <c r="D49"/>
      <c r="E49"/>
      <c r="F49"/>
      <c r="G49"/>
    </row>
    <row r="50" spans="1:7" ht="14.4" x14ac:dyDescent="0.3">
      <c r="A50"/>
      <c r="B50" s="51"/>
      <c r="C50"/>
      <c r="D50"/>
      <c r="E50"/>
      <c r="F50"/>
      <c r="G50"/>
    </row>
    <row r="51" spans="1:7" ht="14.4" x14ac:dyDescent="0.3">
      <c r="A51"/>
      <c r="B51" s="51"/>
      <c r="C51"/>
      <c r="D51"/>
      <c r="E51"/>
      <c r="F51"/>
      <c r="G51"/>
    </row>
    <row r="52" spans="1:7" ht="14.4" x14ac:dyDescent="0.3">
      <c r="A52"/>
      <c r="B52" s="51"/>
      <c r="C52"/>
      <c r="D52"/>
      <c r="E52"/>
      <c r="F52"/>
      <c r="G52"/>
    </row>
    <row r="53" spans="1:7" ht="14.4" x14ac:dyDescent="0.3">
      <c r="A53"/>
      <c r="B53" s="51"/>
      <c r="C53"/>
      <c r="D53"/>
      <c r="E53"/>
      <c r="F53"/>
      <c r="G53"/>
    </row>
    <row r="54" spans="1:7" ht="14.4" x14ac:dyDescent="0.3">
      <c r="A54"/>
      <c r="B54" s="51"/>
      <c r="C54"/>
      <c r="D54"/>
      <c r="E54"/>
      <c r="F54"/>
      <c r="G54"/>
    </row>
    <row r="55" spans="1:7" ht="14.4" x14ac:dyDescent="0.3">
      <c r="A55"/>
      <c r="B55" s="51"/>
      <c r="C55"/>
      <c r="D55"/>
      <c r="E55"/>
      <c r="F55"/>
      <c r="G55"/>
    </row>
    <row r="56" spans="1:7" ht="14.4" x14ac:dyDescent="0.3">
      <c r="A56"/>
      <c r="B56" s="51"/>
      <c r="C56"/>
      <c r="D56"/>
      <c r="E56"/>
      <c r="F56"/>
      <c r="G56"/>
    </row>
    <row r="57" spans="1:7" ht="14.4" x14ac:dyDescent="0.3">
      <c r="A57"/>
      <c r="B57" s="51"/>
      <c r="C57"/>
      <c r="D57"/>
      <c r="E57"/>
      <c r="F57"/>
      <c r="G57"/>
    </row>
    <row r="58" spans="1:7" ht="14.4" x14ac:dyDescent="0.3">
      <c r="A58"/>
      <c r="B58" s="51"/>
      <c r="C58"/>
      <c r="D58"/>
      <c r="E58"/>
      <c r="F58"/>
      <c r="G58"/>
    </row>
    <row r="59" spans="1:7" ht="14.4" x14ac:dyDescent="0.3">
      <c r="A59"/>
      <c r="B59" s="51"/>
      <c r="C59"/>
      <c r="D59"/>
      <c r="E59"/>
      <c r="F59"/>
      <c r="G59"/>
    </row>
    <row r="60" spans="1:7" ht="14.4" x14ac:dyDescent="0.3">
      <c r="A60"/>
      <c r="B60" s="51"/>
      <c r="C60"/>
      <c r="D60"/>
      <c r="E60"/>
      <c r="F60"/>
      <c r="G60"/>
    </row>
    <row r="61" spans="1:7" ht="14.4" x14ac:dyDescent="0.3">
      <c r="A61"/>
      <c r="B61" s="51"/>
      <c r="C61"/>
      <c r="D61"/>
      <c r="E61"/>
      <c r="F61"/>
      <c r="G61"/>
    </row>
    <row r="62" spans="1:7" ht="14.4" x14ac:dyDescent="0.3">
      <c r="A62"/>
      <c r="B62" s="51"/>
      <c r="C62"/>
      <c r="D62"/>
      <c r="E62"/>
      <c r="F62"/>
      <c r="G62"/>
    </row>
    <row r="63" spans="1:7" ht="14.4" x14ac:dyDescent="0.3">
      <c r="A63"/>
      <c r="B63" s="51"/>
      <c r="C63"/>
      <c r="D63"/>
      <c r="E63"/>
      <c r="F63"/>
      <c r="G63"/>
    </row>
    <row r="64" spans="1:7" ht="14.4" x14ac:dyDescent="0.3">
      <c r="A64"/>
      <c r="B64" s="51"/>
      <c r="C64"/>
      <c r="D64"/>
      <c r="E64"/>
      <c r="F64"/>
      <c r="G64"/>
    </row>
    <row r="65" spans="1:7" ht="14.4" x14ac:dyDescent="0.3">
      <c r="A65"/>
      <c r="B65" s="51"/>
      <c r="C65"/>
      <c r="D65"/>
      <c r="E65"/>
      <c r="F65"/>
      <c r="G65"/>
    </row>
  </sheetData>
  <dataValidations count="1">
    <dataValidation type="list" allowBlank="1" showInputMessage="1" showErrorMessage="1" sqref="C3" xr:uid="{76D9FDE6-EA8D-4E07-A965-3AE2111F7331}">
      <formula1>"2024-25,2025-26,2026-27"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B66A7-C302-416B-9150-435AC2000B25}">
  <sheetPr codeName="Sheet4">
    <tabColor rgb="FF2E75B6"/>
  </sheetPr>
  <dimension ref="A1:I2000"/>
  <sheetViews>
    <sheetView showGridLines="0" workbookViewId="0">
      <pane ySplit="5" topLeftCell="A6" activePane="bottomLeft" state="frozen"/>
      <selection pane="bottomLeft"/>
    </sheetView>
  </sheetViews>
  <sheetFormatPr defaultRowHeight="13.8" x14ac:dyDescent="0.3"/>
  <cols>
    <col min="1" max="1" width="12.77734375" style="3" customWidth="1"/>
    <col min="2" max="2" width="14.77734375" style="3" customWidth="1"/>
    <col min="3" max="3" width="11.77734375" style="3" customWidth="1"/>
    <col min="4" max="4" width="7.77734375" style="3" customWidth="1"/>
    <col min="5" max="5" width="9.77734375" style="3" customWidth="1"/>
    <col min="6" max="6" width="10.77734375" style="3" customWidth="1"/>
    <col min="7" max="7" width="9.77734375" style="3" customWidth="1"/>
    <col min="8" max="8" width="12.77734375" style="3" customWidth="1"/>
    <col min="9" max="9" width="30.77734375" style="3" customWidth="1"/>
    <col min="10" max="16384" width="8.88671875" style="3"/>
  </cols>
  <sheetData>
    <row r="1" spans="1:9" ht="21" x14ac:dyDescent="0.4">
      <c r="A1" s="4" t="s">
        <v>163</v>
      </c>
    </row>
    <row r="2" spans="1:9" x14ac:dyDescent="0.3">
      <c r="A2" s="5" t="s">
        <v>164</v>
      </c>
    </row>
    <row r="5" spans="1:9" ht="30" customHeight="1" x14ac:dyDescent="0.3">
      <c r="A5" s="17" t="s">
        <v>0</v>
      </c>
      <c r="B5" s="17" t="s">
        <v>1</v>
      </c>
      <c r="C5" s="17" t="s">
        <v>2</v>
      </c>
      <c r="D5" s="17" t="s">
        <v>3</v>
      </c>
      <c r="E5" s="17" t="s">
        <v>4</v>
      </c>
      <c r="F5" s="17" t="s">
        <v>5</v>
      </c>
      <c r="G5" s="17" t="s">
        <v>6</v>
      </c>
      <c r="H5" s="17" t="s">
        <v>7</v>
      </c>
      <c r="I5" s="17" t="s">
        <v>8</v>
      </c>
    </row>
    <row r="6" spans="1:9" x14ac:dyDescent="0.3">
      <c r="A6" s="11">
        <v>42745</v>
      </c>
      <c r="B6" s="16" t="s">
        <v>10</v>
      </c>
      <c r="C6" s="16" t="s">
        <v>11</v>
      </c>
      <c r="D6" s="16" t="s">
        <v>12</v>
      </c>
      <c r="E6" s="16">
        <v>50</v>
      </c>
      <c r="F6" s="16">
        <v>520</v>
      </c>
      <c r="G6" s="16">
        <v>40</v>
      </c>
      <c r="H6" s="16">
        <v>460</v>
      </c>
      <c r="I6" s="16" t="s">
        <v>13</v>
      </c>
    </row>
    <row r="7" spans="1:9" x14ac:dyDescent="0.3">
      <c r="A7" s="11">
        <v>42809</v>
      </c>
      <c r="B7" s="16" t="s">
        <v>15</v>
      </c>
      <c r="C7" s="16" t="s">
        <v>11</v>
      </c>
      <c r="D7" s="16" t="s">
        <v>12</v>
      </c>
      <c r="E7" s="16">
        <v>30</v>
      </c>
      <c r="F7" s="16">
        <v>1200</v>
      </c>
      <c r="G7" s="16">
        <v>30</v>
      </c>
      <c r="H7" s="16">
        <v>1550</v>
      </c>
      <c r="I7" s="16"/>
    </row>
    <row r="8" spans="1:9" x14ac:dyDescent="0.3">
      <c r="A8" s="11">
        <v>42891</v>
      </c>
      <c r="B8" s="16" t="s">
        <v>17</v>
      </c>
      <c r="C8" s="16" t="s">
        <v>11</v>
      </c>
      <c r="D8" s="16" t="s">
        <v>12</v>
      </c>
      <c r="E8" s="16">
        <v>200</v>
      </c>
      <c r="F8" s="16">
        <v>280</v>
      </c>
      <c r="G8" s="16">
        <v>50</v>
      </c>
      <c r="H8" s="16">
        <v>270</v>
      </c>
      <c r="I8" s="16"/>
    </row>
    <row r="9" spans="1:9" x14ac:dyDescent="0.3">
      <c r="A9" s="11">
        <v>43301</v>
      </c>
      <c r="B9" s="16" t="s">
        <v>19</v>
      </c>
      <c r="C9" s="16" t="s">
        <v>11</v>
      </c>
      <c r="D9" s="16" t="s">
        <v>12</v>
      </c>
      <c r="E9" s="16">
        <v>40</v>
      </c>
      <c r="F9" s="16">
        <v>1050</v>
      </c>
      <c r="G9" s="16">
        <v>40</v>
      </c>
      <c r="H9" s="16"/>
      <c r="I9" s="16"/>
    </row>
    <row r="10" spans="1:9" x14ac:dyDescent="0.3">
      <c r="A10" s="11">
        <v>43536</v>
      </c>
      <c r="B10" s="16" t="s">
        <v>21</v>
      </c>
      <c r="C10" s="16" t="s">
        <v>11</v>
      </c>
      <c r="D10" s="16" t="s">
        <v>12</v>
      </c>
      <c r="E10" s="16">
        <v>60</v>
      </c>
      <c r="F10" s="16">
        <v>740</v>
      </c>
      <c r="G10" s="16">
        <v>40</v>
      </c>
      <c r="H10" s="16"/>
      <c r="I10" s="16"/>
    </row>
    <row r="11" spans="1:9" x14ac:dyDescent="0.3">
      <c r="A11" s="11">
        <v>43565</v>
      </c>
      <c r="B11" s="16" t="s">
        <v>23</v>
      </c>
      <c r="C11" s="16" t="s">
        <v>24</v>
      </c>
      <c r="D11" s="16" t="s">
        <v>12</v>
      </c>
      <c r="E11" s="16">
        <v>1000</v>
      </c>
      <c r="F11" s="16">
        <v>30</v>
      </c>
      <c r="G11" s="16">
        <v>0</v>
      </c>
      <c r="H11" s="16"/>
      <c r="I11" s="16" t="s">
        <v>25</v>
      </c>
    </row>
    <row r="12" spans="1:9" x14ac:dyDescent="0.3">
      <c r="A12" s="11">
        <v>43915</v>
      </c>
      <c r="B12" s="16" t="s">
        <v>27</v>
      </c>
      <c r="C12" s="16" t="s">
        <v>11</v>
      </c>
      <c r="D12" s="16" t="s">
        <v>12</v>
      </c>
      <c r="E12" s="16">
        <v>300</v>
      </c>
      <c r="F12" s="16">
        <v>190</v>
      </c>
      <c r="G12" s="16">
        <v>50</v>
      </c>
      <c r="H12" s="16"/>
      <c r="I12" s="16" t="s">
        <v>28</v>
      </c>
    </row>
    <row r="13" spans="1:9" x14ac:dyDescent="0.3">
      <c r="A13" s="11">
        <v>44061</v>
      </c>
      <c r="B13" s="16" t="s">
        <v>30</v>
      </c>
      <c r="C13" s="16" t="s">
        <v>11</v>
      </c>
      <c r="D13" s="16" t="s">
        <v>12</v>
      </c>
      <c r="E13" s="16">
        <v>25</v>
      </c>
      <c r="F13" s="16">
        <v>950</v>
      </c>
      <c r="G13" s="16">
        <v>25</v>
      </c>
      <c r="H13" s="16"/>
      <c r="I13" s="16"/>
    </row>
    <row r="14" spans="1:9" x14ac:dyDescent="0.3">
      <c r="A14" s="11">
        <v>44237</v>
      </c>
      <c r="B14" s="16" t="s">
        <v>32</v>
      </c>
      <c r="C14" s="16" t="s">
        <v>11</v>
      </c>
      <c r="D14" s="16" t="s">
        <v>12</v>
      </c>
      <c r="E14" s="16">
        <v>20</v>
      </c>
      <c r="F14" s="16">
        <v>1450</v>
      </c>
      <c r="G14" s="16">
        <v>25</v>
      </c>
      <c r="H14" s="16"/>
      <c r="I14" s="16"/>
    </row>
    <row r="15" spans="1:9" x14ac:dyDescent="0.3">
      <c r="A15" s="11">
        <v>44484</v>
      </c>
      <c r="B15" s="16" t="s">
        <v>34</v>
      </c>
      <c r="C15" s="16" t="s">
        <v>11</v>
      </c>
      <c r="D15" s="16" t="s">
        <v>12</v>
      </c>
      <c r="E15" s="16">
        <v>15</v>
      </c>
      <c r="F15" s="16">
        <v>3300</v>
      </c>
      <c r="G15" s="16">
        <v>40</v>
      </c>
      <c r="H15" s="16"/>
      <c r="I15" s="16"/>
    </row>
    <row r="16" spans="1:9" x14ac:dyDescent="0.3">
      <c r="A16" s="11">
        <v>44690</v>
      </c>
      <c r="B16" s="16" t="s">
        <v>36</v>
      </c>
      <c r="C16" s="16" t="s">
        <v>11</v>
      </c>
      <c r="D16" s="16" t="s">
        <v>12</v>
      </c>
      <c r="E16" s="16">
        <v>40</v>
      </c>
      <c r="F16" s="16">
        <v>860</v>
      </c>
      <c r="G16" s="16">
        <v>30</v>
      </c>
      <c r="H16" s="16"/>
      <c r="I16" s="16"/>
    </row>
    <row r="17" spans="1:9" x14ac:dyDescent="0.3">
      <c r="A17" s="11">
        <v>44879</v>
      </c>
      <c r="B17" s="16" t="s">
        <v>38</v>
      </c>
      <c r="C17" s="16" t="s">
        <v>11</v>
      </c>
      <c r="D17" s="16" t="s">
        <v>12</v>
      </c>
      <c r="E17" s="16">
        <v>150</v>
      </c>
      <c r="F17" s="16">
        <v>420</v>
      </c>
      <c r="G17" s="16">
        <v>50</v>
      </c>
      <c r="H17" s="16"/>
      <c r="I17" s="16"/>
    </row>
    <row r="18" spans="1:9" x14ac:dyDescent="0.3">
      <c r="A18" s="11">
        <v>44929</v>
      </c>
      <c r="B18" s="16" t="s">
        <v>40</v>
      </c>
      <c r="C18" s="16" t="s">
        <v>11</v>
      </c>
      <c r="D18" s="16" t="s">
        <v>12</v>
      </c>
      <c r="E18" s="16">
        <v>50</v>
      </c>
      <c r="F18" s="16">
        <v>650</v>
      </c>
      <c r="G18" s="16">
        <v>30</v>
      </c>
      <c r="H18" s="16"/>
      <c r="I18" s="16"/>
    </row>
    <row r="19" spans="1:9" x14ac:dyDescent="0.3">
      <c r="A19" s="11">
        <v>45089</v>
      </c>
      <c r="B19" s="16" t="s">
        <v>10</v>
      </c>
      <c r="C19" s="16" t="s">
        <v>11</v>
      </c>
      <c r="D19" s="16" t="s">
        <v>12</v>
      </c>
      <c r="E19" s="16">
        <v>20</v>
      </c>
      <c r="F19" s="16">
        <v>1250</v>
      </c>
      <c r="G19" s="16">
        <v>25</v>
      </c>
      <c r="H19" s="16"/>
      <c r="I19" s="16"/>
    </row>
    <row r="20" spans="1:9" x14ac:dyDescent="0.3">
      <c r="A20" s="11">
        <v>45092</v>
      </c>
      <c r="B20" s="16" t="s">
        <v>43</v>
      </c>
      <c r="C20" s="16" t="s">
        <v>44</v>
      </c>
      <c r="D20" s="16" t="s">
        <v>12</v>
      </c>
      <c r="E20" s="16">
        <v>2000</v>
      </c>
      <c r="F20" s="16">
        <v>28</v>
      </c>
      <c r="G20" s="16">
        <v>0</v>
      </c>
      <c r="H20" s="16"/>
      <c r="I20" s="16" t="s">
        <v>45</v>
      </c>
    </row>
    <row r="21" spans="1:9" x14ac:dyDescent="0.3">
      <c r="A21" s="11">
        <v>45344</v>
      </c>
      <c r="B21" s="16" t="s">
        <v>21</v>
      </c>
      <c r="C21" s="16" t="s">
        <v>11</v>
      </c>
      <c r="D21" s="16" t="s">
        <v>12</v>
      </c>
      <c r="E21" s="16">
        <v>30</v>
      </c>
      <c r="F21" s="16">
        <v>1650</v>
      </c>
      <c r="G21" s="16">
        <v>40</v>
      </c>
      <c r="H21" s="16"/>
      <c r="I21" s="16"/>
    </row>
    <row r="22" spans="1:9" x14ac:dyDescent="0.3">
      <c r="A22" s="11">
        <v>45550</v>
      </c>
      <c r="B22" s="16" t="s">
        <v>38</v>
      </c>
      <c r="C22" s="16" t="s">
        <v>11</v>
      </c>
      <c r="D22" s="16" t="s">
        <v>48</v>
      </c>
      <c r="E22" s="16">
        <v>100</v>
      </c>
      <c r="F22" s="16">
        <v>1050</v>
      </c>
      <c r="G22" s="16">
        <v>80</v>
      </c>
      <c r="H22" s="16"/>
      <c r="I22" s="16"/>
    </row>
    <row r="23" spans="1:9" x14ac:dyDescent="0.3">
      <c r="A23" s="11">
        <v>45646</v>
      </c>
      <c r="B23" s="16" t="s">
        <v>15</v>
      </c>
      <c r="C23" s="16" t="s">
        <v>11</v>
      </c>
      <c r="D23" s="16" t="s">
        <v>48</v>
      </c>
      <c r="E23" s="16">
        <v>10</v>
      </c>
      <c r="F23" s="16">
        <v>4200</v>
      </c>
      <c r="G23" s="16">
        <v>40</v>
      </c>
      <c r="H23" s="16"/>
      <c r="I23" s="16" t="s">
        <v>50</v>
      </c>
    </row>
    <row r="24" spans="1:9" x14ac:dyDescent="0.3">
      <c r="A24" s="11">
        <v>45667</v>
      </c>
      <c r="B24" s="16" t="s">
        <v>17</v>
      </c>
      <c r="C24" s="16" t="s">
        <v>11</v>
      </c>
      <c r="D24" s="16" t="s">
        <v>48</v>
      </c>
      <c r="E24" s="16">
        <v>100</v>
      </c>
      <c r="F24" s="16">
        <v>470</v>
      </c>
      <c r="G24" s="16">
        <v>40</v>
      </c>
      <c r="H24" s="16"/>
      <c r="I24" s="16" t="s">
        <v>50</v>
      </c>
    </row>
    <row r="25" spans="1:9" x14ac:dyDescent="0.3">
      <c r="A25" s="11">
        <v>45726</v>
      </c>
      <c r="B25" s="16" t="s">
        <v>34</v>
      </c>
      <c r="C25" s="16" t="s">
        <v>11</v>
      </c>
      <c r="D25" s="16" t="s">
        <v>12</v>
      </c>
      <c r="E25" s="16">
        <v>10</v>
      </c>
      <c r="F25" s="16">
        <v>2250</v>
      </c>
      <c r="G25" s="16">
        <v>25</v>
      </c>
      <c r="H25" s="16"/>
      <c r="I25" s="16"/>
    </row>
    <row r="26" spans="1:9" x14ac:dyDescent="0.3">
      <c r="A26" s="11">
        <v>45782</v>
      </c>
      <c r="B26" s="16" t="s">
        <v>27</v>
      </c>
      <c r="C26" s="16" t="s">
        <v>11</v>
      </c>
      <c r="D26" s="16" t="s">
        <v>48</v>
      </c>
      <c r="E26" s="16">
        <v>100</v>
      </c>
      <c r="F26" s="16">
        <v>790</v>
      </c>
      <c r="G26" s="16">
        <v>50</v>
      </c>
      <c r="H26" s="16"/>
      <c r="I26" s="16"/>
    </row>
    <row r="27" spans="1:9" x14ac:dyDescent="0.3">
      <c r="A27" s="11">
        <v>45828</v>
      </c>
      <c r="B27" s="16" t="s">
        <v>32</v>
      </c>
      <c r="C27" s="16" t="s">
        <v>11</v>
      </c>
      <c r="D27" s="16" t="s">
        <v>12</v>
      </c>
      <c r="E27" s="16">
        <v>10</v>
      </c>
      <c r="F27" s="16">
        <v>3500</v>
      </c>
      <c r="G27" s="16">
        <v>30</v>
      </c>
      <c r="H27" s="16"/>
      <c r="I27" s="16"/>
    </row>
    <row r="28" spans="1:9" x14ac:dyDescent="0.3">
      <c r="A28" s="11">
        <v>46037</v>
      </c>
      <c r="B28" s="16" t="s">
        <v>30</v>
      </c>
      <c r="C28" s="16" t="s">
        <v>11</v>
      </c>
      <c r="D28" s="16" t="s">
        <v>48</v>
      </c>
      <c r="E28" s="16">
        <v>10</v>
      </c>
      <c r="F28" s="16">
        <v>3600</v>
      </c>
      <c r="G28" s="16">
        <v>40</v>
      </c>
      <c r="H28" s="16"/>
      <c r="I28" s="16"/>
    </row>
    <row r="29" spans="1:9" x14ac:dyDescent="0.3">
      <c r="A29" s="11">
        <v>46063</v>
      </c>
      <c r="B29" s="16" t="s">
        <v>19</v>
      </c>
      <c r="C29" s="16" t="s">
        <v>11</v>
      </c>
      <c r="D29" s="16" t="s">
        <v>12</v>
      </c>
      <c r="E29" s="16">
        <v>30</v>
      </c>
      <c r="F29" s="16">
        <v>920</v>
      </c>
      <c r="G29" s="16">
        <v>30</v>
      </c>
      <c r="H29" s="16"/>
      <c r="I29" s="16"/>
    </row>
    <row r="30" spans="1:9" x14ac:dyDescent="0.3">
      <c r="A30" s="11">
        <v>46096</v>
      </c>
      <c r="B30" s="16" t="s">
        <v>36</v>
      </c>
      <c r="C30" s="16" t="s">
        <v>11</v>
      </c>
      <c r="D30" s="16" t="s">
        <v>12</v>
      </c>
      <c r="E30" s="16">
        <v>30</v>
      </c>
      <c r="F30" s="16">
        <v>1780</v>
      </c>
      <c r="G30" s="16">
        <v>35</v>
      </c>
      <c r="H30" s="16"/>
      <c r="I30" s="16"/>
    </row>
    <row r="31" spans="1:9" x14ac:dyDescent="0.3">
      <c r="A31" s="11">
        <v>46117</v>
      </c>
      <c r="B31" s="16" t="s">
        <v>59</v>
      </c>
      <c r="C31" s="16" t="s">
        <v>11</v>
      </c>
      <c r="D31" s="16" t="s">
        <v>12</v>
      </c>
      <c r="E31" s="16">
        <v>1000</v>
      </c>
      <c r="F31" s="16">
        <v>140</v>
      </c>
      <c r="G31" s="16">
        <v>40</v>
      </c>
      <c r="H31" s="16"/>
      <c r="I31" s="16"/>
    </row>
    <row r="32" spans="1:9" x14ac:dyDescent="0.3">
      <c r="A32" s="11">
        <v>46122</v>
      </c>
      <c r="B32" s="16" t="s">
        <v>15</v>
      </c>
      <c r="C32" s="16" t="s">
        <v>11</v>
      </c>
      <c r="D32" s="16" t="s">
        <v>12</v>
      </c>
      <c r="E32" s="16">
        <v>10</v>
      </c>
      <c r="F32" s="16">
        <v>3600</v>
      </c>
      <c r="G32" s="16">
        <v>30</v>
      </c>
      <c r="H32" s="16"/>
      <c r="I32" s="16"/>
    </row>
    <row r="33" spans="1:9" x14ac:dyDescent="0.3">
      <c r="A33" s="11">
        <v>46157</v>
      </c>
      <c r="B33" s="16" t="s">
        <v>62</v>
      </c>
      <c r="C33" s="16" t="s">
        <v>11</v>
      </c>
      <c r="D33" s="16" t="s">
        <v>12</v>
      </c>
      <c r="E33" s="16">
        <v>10</v>
      </c>
      <c r="F33" s="16">
        <v>4100</v>
      </c>
      <c r="G33" s="16">
        <v>30</v>
      </c>
      <c r="H33" s="16"/>
      <c r="I33" s="16"/>
    </row>
    <row r="34" spans="1:9" x14ac:dyDescent="0.3">
      <c r="A34" s="11">
        <v>46162</v>
      </c>
      <c r="B34" s="16" t="s">
        <v>21</v>
      </c>
      <c r="C34" s="16" t="s">
        <v>11</v>
      </c>
      <c r="D34" s="16" t="s">
        <v>48</v>
      </c>
      <c r="E34" s="16">
        <v>40</v>
      </c>
      <c r="F34" s="16">
        <v>1550</v>
      </c>
      <c r="G34" s="16">
        <v>50</v>
      </c>
      <c r="H34" s="16"/>
      <c r="I34" s="16"/>
    </row>
    <row r="35" spans="1:9" x14ac:dyDescent="0.3">
      <c r="A35" s="11">
        <v>46178</v>
      </c>
      <c r="B35" s="16" t="s">
        <v>65</v>
      </c>
      <c r="C35" s="16" t="s">
        <v>11</v>
      </c>
      <c r="D35" s="16" t="s">
        <v>12</v>
      </c>
      <c r="E35" s="16">
        <v>300</v>
      </c>
      <c r="F35" s="16">
        <v>260</v>
      </c>
      <c r="G35" s="16">
        <v>40</v>
      </c>
      <c r="H35" s="16"/>
      <c r="I35" s="16"/>
    </row>
    <row r="36" spans="1:9" x14ac:dyDescent="0.3">
      <c r="A36" s="11">
        <v>46191</v>
      </c>
      <c r="B36" s="16" t="s">
        <v>38</v>
      </c>
      <c r="C36" s="16" t="s">
        <v>11</v>
      </c>
      <c r="D36" s="16" t="s">
        <v>48</v>
      </c>
      <c r="E36" s="16">
        <v>50</v>
      </c>
      <c r="F36" s="16">
        <v>760</v>
      </c>
      <c r="G36" s="16">
        <v>40</v>
      </c>
      <c r="H36" s="16"/>
      <c r="I36" s="16"/>
    </row>
    <row r="37" spans="1:9" x14ac:dyDescent="0.3">
      <c r="A37" s="11">
        <v>46204</v>
      </c>
      <c r="B37" s="16" t="s">
        <v>10</v>
      </c>
      <c r="C37" s="16" t="s">
        <v>11</v>
      </c>
      <c r="D37" s="16" t="s">
        <v>12</v>
      </c>
      <c r="E37" s="16">
        <v>30</v>
      </c>
      <c r="F37" s="16">
        <v>1500</v>
      </c>
      <c r="G37" s="16">
        <v>30</v>
      </c>
      <c r="H37" s="16"/>
      <c r="I37" s="16"/>
    </row>
    <row r="38" spans="1:9" x14ac:dyDescent="0.3">
      <c r="A38" s="11">
        <v>46213</v>
      </c>
      <c r="B38" s="16" t="s">
        <v>59</v>
      </c>
      <c r="C38" s="16" t="s">
        <v>11</v>
      </c>
      <c r="D38" s="16" t="s">
        <v>48</v>
      </c>
      <c r="E38" s="16">
        <v>1000</v>
      </c>
      <c r="F38" s="16">
        <v>168</v>
      </c>
      <c r="G38" s="16">
        <v>45</v>
      </c>
      <c r="H38" s="16"/>
      <c r="I38" s="16"/>
    </row>
    <row r="39" spans="1:9" x14ac:dyDescent="0.3">
      <c r="A39" s="11">
        <v>46228</v>
      </c>
      <c r="B39" s="16" t="s">
        <v>19</v>
      </c>
      <c r="C39" s="16" t="s">
        <v>11</v>
      </c>
      <c r="D39" s="16" t="s">
        <v>48</v>
      </c>
      <c r="E39" s="16">
        <v>30</v>
      </c>
      <c r="F39" s="16">
        <v>980</v>
      </c>
      <c r="G39" s="16">
        <v>30</v>
      </c>
      <c r="H39" s="16"/>
      <c r="I39" s="16"/>
    </row>
    <row r="40" spans="1:9" x14ac:dyDescent="0.3">
      <c r="A40" s="11">
        <v>46235</v>
      </c>
      <c r="B40" s="16" t="s">
        <v>71</v>
      </c>
      <c r="C40" s="16" t="s">
        <v>11</v>
      </c>
      <c r="D40" s="16" t="s">
        <v>12</v>
      </c>
      <c r="E40" s="16">
        <v>50</v>
      </c>
      <c r="F40" s="16">
        <v>1400</v>
      </c>
      <c r="G40" s="16">
        <v>30</v>
      </c>
      <c r="H40" s="16"/>
      <c r="I40" s="16"/>
    </row>
    <row r="41" spans="1:9" x14ac:dyDescent="0.3">
      <c r="A41" s="11">
        <v>46246</v>
      </c>
      <c r="B41" s="16" t="s">
        <v>34</v>
      </c>
      <c r="C41" s="16" t="s">
        <v>11</v>
      </c>
      <c r="D41" s="16" t="s">
        <v>48</v>
      </c>
      <c r="E41" s="16">
        <v>10</v>
      </c>
      <c r="F41" s="16">
        <v>2500</v>
      </c>
      <c r="G41" s="16">
        <v>30</v>
      </c>
      <c r="H41" s="16"/>
      <c r="I41" s="16"/>
    </row>
    <row r="42" spans="1:9" x14ac:dyDescent="0.3">
      <c r="A42" s="11">
        <v>46254</v>
      </c>
      <c r="B42" s="16" t="s">
        <v>62</v>
      </c>
      <c r="C42" s="16" t="s">
        <v>11</v>
      </c>
      <c r="D42" s="16" t="s">
        <v>48</v>
      </c>
      <c r="E42" s="16">
        <v>10</v>
      </c>
      <c r="F42" s="16">
        <v>4450</v>
      </c>
      <c r="G42" s="16">
        <v>30</v>
      </c>
      <c r="H42" s="16"/>
      <c r="I42" s="16"/>
    </row>
    <row r="43" spans="1:9" x14ac:dyDescent="0.3">
      <c r="A43" s="11">
        <v>46262</v>
      </c>
      <c r="B43" s="16" t="s">
        <v>32</v>
      </c>
      <c r="C43" s="16" t="s">
        <v>11</v>
      </c>
      <c r="D43" s="16" t="s">
        <v>48</v>
      </c>
      <c r="E43" s="16">
        <v>10</v>
      </c>
      <c r="F43" s="16">
        <v>3900</v>
      </c>
      <c r="G43" s="16">
        <v>30</v>
      </c>
      <c r="H43" s="16"/>
      <c r="I43" s="16"/>
    </row>
    <row r="44" spans="1:9" x14ac:dyDescent="0.3">
      <c r="A44" s="11">
        <v>46266</v>
      </c>
      <c r="B44" s="16" t="s">
        <v>40</v>
      </c>
      <c r="C44" s="16" t="s">
        <v>11</v>
      </c>
      <c r="D44" s="16" t="s">
        <v>12</v>
      </c>
      <c r="E44" s="16">
        <v>40</v>
      </c>
      <c r="F44" s="16">
        <v>950</v>
      </c>
      <c r="G44" s="16">
        <v>30</v>
      </c>
      <c r="H44" s="16"/>
      <c r="I44" s="16"/>
    </row>
    <row r="45" spans="1:9" x14ac:dyDescent="0.3">
      <c r="A45" s="11">
        <v>46273</v>
      </c>
      <c r="B45" s="16" t="s">
        <v>15</v>
      </c>
      <c r="C45" s="16" t="s">
        <v>11</v>
      </c>
      <c r="D45" s="16" t="s">
        <v>48</v>
      </c>
      <c r="E45" s="16">
        <v>20</v>
      </c>
      <c r="F45" s="16">
        <v>3500</v>
      </c>
      <c r="G45" s="16">
        <v>40</v>
      </c>
      <c r="H45" s="16"/>
      <c r="I45" s="16" t="s">
        <v>50</v>
      </c>
    </row>
    <row r="46" spans="1:9" x14ac:dyDescent="0.3">
      <c r="A46" s="11">
        <v>46280</v>
      </c>
      <c r="B46" s="16" t="s">
        <v>43</v>
      </c>
      <c r="C46" s="16" t="s">
        <v>44</v>
      </c>
      <c r="D46" s="16" t="s">
        <v>48</v>
      </c>
      <c r="E46" s="16">
        <v>2000</v>
      </c>
      <c r="F46" s="16">
        <v>32</v>
      </c>
      <c r="G46" s="16">
        <v>0</v>
      </c>
      <c r="H46" s="16"/>
      <c r="I46" s="16"/>
    </row>
    <row r="47" spans="1:9" x14ac:dyDescent="0.3">
      <c r="A47" s="11">
        <v>46287</v>
      </c>
      <c r="B47" s="16" t="s">
        <v>36</v>
      </c>
      <c r="C47" s="16" t="s">
        <v>11</v>
      </c>
      <c r="D47" s="16" t="s">
        <v>48</v>
      </c>
      <c r="E47" s="16">
        <v>30</v>
      </c>
      <c r="F47" s="16">
        <v>1720</v>
      </c>
      <c r="G47" s="16">
        <v>35</v>
      </c>
      <c r="H47" s="16"/>
      <c r="I47" s="16"/>
    </row>
    <row r="48" spans="1:9" x14ac:dyDescent="0.3">
      <c r="A48" s="11">
        <v>46300</v>
      </c>
      <c r="B48" s="16" t="s">
        <v>10</v>
      </c>
      <c r="C48" s="16" t="s">
        <v>11</v>
      </c>
      <c r="D48" s="16" t="s">
        <v>48</v>
      </c>
      <c r="E48" s="16">
        <v>30</v>
      </c>
      <c r="F48" s="16">
        <v>1420</v>
      </c>
      <c r="G48" s="16">
        <v>30</v>
      </c>
      <c r="H48" s="16"/>
      <c r="I48" s="16" t="s">
        <v>50</v>
      </c>
    </row>
    <row r="49" spans="1:9" x14ac:dyDescent="0.3">
      <c r="A49" s="11"/>
      <c r="B49" s="16"/>
      <c r="C49" s="16"/>
      <c r="D49" s="16"/>
      <c r="E49" s="16"/>
      <c r="F49" s="16"/>
      <c r="G49" s="16"/>
      <c r="H49" s="16"/>
      <c r="I49" s="16"/>
    </row>
    <row r="50" spans="1:9" x14ac:dyDescent="0.3">
      <c r="A50" s="11"/>
      <c r="B50" s="16"/>
      <c r="C50" s="16"/>
      <c r="D50" s="16"/>
      <c r="E50" s="16"/>
      <c r="F50" s="16"/>
      <c r="G50" s="16"/>
      <c r="H50" s="16"/>
      <c r="I50" s="16"/>
    </row>
    <row r="51" spans="1:9" x14ac:dyDescent="0.3">
      <c r="A51" s="11"/>
      <c r="B51" s="16"/>
      <c r="C51" s="16"/>
      <c r="D51" s="16"/>
      <c r="E51" s="16"/>
      <c r="F51" s="16"/>
      <c r="G51" s="16"/>
      <c r="H51" s="16"/>
      <c r="I51" s="16"/>
    </row>
    <row r="52" spans="1:9" x14ac:dyDescent="0.3">
      <c r="A52" s="11"/>
      <c r="B52" s="16"/>
      <c r="C52" s="16"/>
      <c r="D52" s="16"/>
      <c r="E52" s="16"/>
      <c r="F52" s="16"/>
      <c r="G52" s="16"/>
      <c r="H52" s="16"/>
      <c r="I52" s="16"/>
    </row>
    <row r="53" spans="1:9" x14ac:dyDescent="0.3">
      <c r="A53" s="11"/>
      <c r="B53" s="16"/>
      <c r="C53" s="16"/>
      <c r="D53" s="16"/>
      <c r="E53" s="16"/>
      <c r="F53" s="16"/>
      <c r="G53" s="16"/>
      <c r="H53" s="16"/>
      <c r="I53" s="16"/>
    </row>
    <row r="54" spans="1:9" x14ac:dyDescent="0.3">
      <c r="A54" s="11"/>
      <c r="B54" s="16"/>
      <c r="C54" s="16"/>
      <c r="D54" s="16"/>
      <c r="E54" s="16"/>
      <c r="F54" s="16"/>
      <c r="G54" s="16"/>
      <c r="H54" s="16"/>
      <c r="I54" s="16"/>
    </row>
    <row r="55" spans="1:9" x14ac:dyDescent="0.3">
      <c r="A55" s="11"/>
      <c r="B55" s="16"/>
      <c r="C55" s="16"/>
      <c r="D55" s="16"/>
      <c r="E55" s="16"/>
      <c r="F55" s="16"/>
      <c r="G55" s="16"/>
      <c r="H55" s="16"/>
      <c r="I55" s="16"/>
    </row>
    <row r="56" spans="1:9" x14ac:dyDescent="0.3">
      <c r="A56" s="11"/>
      <c r="B56" s="16"/>
      <c r="C56" s="16"/>
      <c r="D56" s="16"/>
      <c r="E56" s="16"/>
      <c r="F56" s="16"/>
      <c r="G56" s="16"/>
      <c r="H56" s="16"/>
      <c r="I56" s="16"/>
    </row>
    <row r="57" spans="1:9" x14ac:dyDescent="0.3">
      <c r="A57" s="11"/>
      <c r="B57" s="16"/>
      <c r="C57" s="16"/>
      <c r="D57" s="16"/>
      <c r="E57" s="16"/>
      <c r="F57" s="16"/>
      <c r="G57" s="16"/>
      <c r="H57" s="16"/>
      <c r="I57" s="16"/>
    </row>
    <row r="58" spans="1:9" x14ac:dyDescent="0.3">
      <c r="A58" s="11"/>
      <c r="B58" s="16"/>
      <c r="C58" s="16"/>
      <c r="D58" s="16"/>
      <c r="E58" s="16"/>
      <c r="F58" s="16"/>
      <c r="G58" s="16"/>
      <c r="H58" s="16"/>
      <c r="I58" s="16"/>
    </row>
    <row r="59" spans="1:9" x14ac:dyDescent="0.3">
      <c r="A59" s="11"/>
      <c r="B59" s="16"/>
      <c r="C59" s="16"/>
      <c r="D59" s="16"/>
      <c r="E59" s="16"/>
      <c r="F59" s="16"/>
      <c r="G59" s="16"/>
      <c r="H59" s="16"/>
      <c r="I59" s="16"/>
    </row>
    <row r="60" spans="1:9" x14ac:dyDescent="0.3">
      <c r="A60" s="11"/>
      <c r="B60" s="16"/>
      <c r="C60" s="16"/>
      <c r="D60" s="16"/>
      <c r="E60" s="16"/>
      <c r="F60" s="16"/>
      <c r="G60" s="16"/>
      <c r="H60" s="16"/>
      <c r="I60" s="16"/>
    </row>
    <row r="61" spans="1:9" x14ac:dyDescent="0.3">
      <c r="A61" s="11"/>
      <c r="B61" s="16"/>
      <c r="C61" s="16"/>
      <c r="D61" s="16"/>
      <c r="E61" s="16"/>
      <c r="F61" s="16"/>
      <c r="G61" s="16"/>
      <c r="H61" s="16"/>
      <c r="I61" s="16"/>
    </row>
    <row r="62" spans="1:9" x14ac:dyDescent="0.3">
      <c r="A62" s="11"/>
      <c r="B62" s="16"/>
      <c r="C62" s="16"/>
      <c r="D62" s="16"/>
      <c r="E62" s="16"/>
      <c r="F62" s="16"/>
      <c r="G62" s="16"/>
      <c r="H62" s="16"/>
      <c r="I62" s="16"/>
    </row>
    <row r="63" spans="1:9" x14ac:dyDescent="0.3">
      <c r="A63" s="11"/>
      <c r="B63" s="16"/>
      <c r="C63" s="16"/>
      <c r="D63" s="16"/>
      <c r="E63" s="16"/>
      <c r="F63" s="16"/>
      <c r="G63" s="16"/>
      <c r="H63" s="16"/>
      <c r="I63" s="16"/>
    </row>
    <row r="64" spans="1:9" x14ac:dyDescent="0.3">
      <c r="A64" s="11"/>
      <c r="B64" s="16"/>
      <c r="C64" s="16"/>
      <c r="D64" s="16"/>
      <c r="E64" s="16"/>
      <c r="F64" s="16"/>
      <c r="G64" s="16"/>
      <c r="H64" s="16"/>
      <c r="I64" s="16"/>
    </row>
    <row r="65" spans="1:9" x14ac:dyDescent="0.3">
      <c r="A65" s="11"/>
      <c r="B65" s="16"/>
      <c r="C65" s="16"/>
      <c r="D65" s="16"/>
      <c r="E65" s="16"/>
      <c r="F65" s="16"/>
      <c r="G65" s="16"/>
      <c r="H65" s="16"/>
      <c r="I65" s="16"/>
    </row>
    <row r="66" spans="1:9" x14ac:dyDescent="0.3">
      <c r="A66" s="11"/>
      <c r="B66" s="16"/>
      <c r="C66" s="16"/>
      <c r="D66" s="16"/>
      <c r="E66" s="16"/>
      <c r="F66" s="16"/>
      <c r="G66" s="16"/>
      <c r="H66" s="16"/>
      <c r="I66" s="16"/>
    </row>
    <row r="67" spans="1:9" x14ac:dyDescent="0.3">
      <c r="A67" s="11"/>
      <c r="B67" s="16"/>
      <c r="C67" s="16"/>
      <c r="D67" s="16"/>
      <c r="E67" s="16"/>
      <c r="F67" s="16"/>
      <c r="G67" s="16"/>
      <c r="H67" s="16"/>
      <c r="I67" s="16"/>
    </row>
    <row r="68" spans="1:9" x14ac:dyDescent="0.3">
      <c r="A68" s="11"/>
      <c r="B68" s="16"/>
      <c r="C68" s="16"/>
      <c r="D68" s="16"/>
      <c r="E68" s="16"/>
      <c r="F68" s="16"/>
      <c r="G68" s="16"/>
      <c r="H68" s="16"/>
      <c r="I68" s="16"/>
    </row>
    <row r="69" spans="1:9" x14ac:dyDescent="0.3">
      <c r="A69" s="11"/>
      <c r="B69" s="16"/>
      <c r="C69" s="16"/>
      <c r="D69" s="16"/>
      <c r="E69" s="16"/>
      <c r="F69" s="16"/>
      <c r="G69" s="16"/>
      <c r="H69" s="16"/>
      <c r="I69" s="16"/>
    </row>
    <row r="70" spans="1:9" x14ac:dyDescent="0.3">
      <c r="A70" s="11"/>
      <c r="B70" s="16"/>
      <c r="C70" s="16"/>
      <c r="D70" s="16"/>
      <c r="E70" s="16"/>
      <c r="F70" s="16"/>
      <c r="G70" s="16"/>
      <c r="H70" s="16"/>
      <c r="I70" s="16"/>
    </row>
    <row r="71" spans="1:9" x14ac:dyDescent="0.3">
      <c r="A71" s="11"/>
      <c r="B71" s="16"/>
      <c r="C71" s="16"/>
      <c r="D71" s="16"/>
      <c r="E71" s="16"/>
      <c r="F71" s="16"/>
      <c r="G71" s="16"/>
      <c r="H71" s="16"/>
      <c r="I71" s="16"/>
    </row>
    <row r="72" spans="1:9" x14ac:dyDescent="0.3">
      <c r="A72" s="11"/>
      <c r="B72" s="16"/>
      <c r="C72" s="16"/>
      <c r="D72" s="16"/>
      <c r="E72" s="16"/>
      <c r="F72" s="16"/>
      <c r="G72" s="16"/>
      <c r="H72" s="16"/>
      <c r="I72" s="16"/>
    </row>
    <row r="73" spans="1:9" x14ac:dyDescent="0.3">
      <c r="A73" s="11"/>
      <c r="B73" s="16"/>
      <c r="C73" s="16"/>
      <c r="D73" s="16"/>
      <c r="E73" s="16"/>
      <c r="F73" s="16"/>
      <c r="G73" s="16"/>
      <c r="H73" s="16"/>
      <c r="I73" s="16"/>
    </row>
    <row r="74" spans="1:9" x14ac:dyDescent="0.3">
      <c r="A74" s="11"/>
      <c r="B74" s="16"/>
      <c r="C74" s="16"/>
      <c r="D74" s="16"/>
      <c r="E74" s="16"/>
      <c r="F74" s="16"/>
      <c r="G74" s="16"/>
      <c r="H74" s="16"/>
      <c r="I74" s="16"/>
    </row>
    <row r="75" spans="1:9" x14ac:dyDescent="0.3">
      <c r="A75" s="11"/>
      <c r="B75" s="16"/>
      <c r="C75" s="16"/>
      <c r="D75" s="16"/>
      <c r="E75" s="16"/>
      <c r="F75" s="16"/>
      <c r="G75" s="16"/>
      <c r="H75" s="16"/>
      <c r="I75" s="16"/>
    </row>
    <row r="76" spans="1:9" x14ac:dyDescent="0.3">
      <c r="A76" s="11"/>
      <c r="B76" s="16"/>
      <c r="C76" s="16"/>
      <c r="D76" s="16"/>
      <c r="E76" s="16"/>
      <c r="F76" s="16"/>
      <c r="G76" s="16"/>
      <c r="H76" s="16"/>
      <c r="I76" s="16"/>
    </row>
    <row r="77" spans="1:9" x14ac:dyDescent="0.3">
      <c r="A77" s="11"/>
      <c r="B77" s="16"/>
      <c r="C77" s="16"/>
      <c r="D77" s="16"/>
      <c r="E77" s="16"/>
      <c r="F77" s="16"/>
      <c r="G77" s="16"/>
      <c r="H77" s="16"/>
      <c r="I77" s="16"/>
    </row>
    <row r="78" spans="1:9" x14ac:dyDescent="0.3">
      <c r="A78" s="11"/>
      <c r="B78" s="16"/>
      <c r="C78" s="16"/>
      <c r="D78" s="16"/>
      <c r="E78" s="16"/>
      <c r="F78" s="16"/>
      <c r="G78" s="16"/>
      <c r="H78" s="16"/>
      <c r="I78" s="16"/>
    </row>
    <row r="79" spans="1:9" x14ac:dyDescent="0.3">
      <c r="A79" s="11"/>
      <c r="B79" s="16"/>
      <c r="C79" s="16"/>
      <c r="D79" s="16"/>
      <c r="E79" s="16"/>
      <c r="F79" s="16"/>
      <c r="G79" s="16"/>
      <c r="H79" s="16"/>
      <c r="I79" s="16"/>
    </row>
    <row r="80" spans="1:9" x14ac:dyDescent="0.3">
      <c r="A80" s="11"/>
      <c r="B80" s="16"/>
      <c r="C80" s="16"/>
      <c r="D80" s="16"/>
      <c r="E80" s="16"/>
      <c r="F80" s="16"/>
      <c r="G80" s="16"/>
      <c r="H80" s="16"/>
      <c r="I80" s="16"/>
    </row>
    <row r="81" spans="1:9" x14ac:dyDescent="0.3">
      <c r="A81" s="11"/>
      <c r="B81" s="16"/>
      <c r="C81" s="16"/>
      <c r="D81" s="16"/>
      <c r="E81" s="16"/>
      <c r="F81" s="16"/>
      <c r="G81" s="16"/>
      <c r="H81" s="16"/>
      <c r="I81" s="16"/>
    </row>
    <row r="82" spans="1:9" x14ac:dyDescent="0.3">
      <c r="A82" s="11"/>
      <c r="B82" s="16"/>
      <c r="C82" s="16"/>
      <c r="D82" s="16"/>
      <c r="E82" s="16"/>
      <c r="F82" s="16"/>
      <c r="G82" s="16"/>
      <c r="H82" s="16"/>
      <c r="I82" s="16"/>
    </row>
    <row r="83" spans="1:9" x14ac:dyDescent="0.3">
      <c r="A83" s="11"/>
      <c r="B83" s="16"/>
      <c r="C83" s="16"/>
      <c r="D83" s="16"/>
      <c r="E83" s="16"/>
      <c r="F83" s="16"/>
      <c r="G83" s="16"/>
      <c r="H83" s="16"/>
      <c r="I83" s="16"/>
    </row>
    <row r="84" spans="1:9" x14ac:dyDescent="0.3">
      <c r="A84" s="11"/>
      <c r="B84" s="16"/>
      <c r="C84" s="16"/>
      <c r="D84" s="16"/>
      <c r="E84" s="16"/>
      <c r="F84" s="16"/>
      <c r="G84" s="16"/>
      <c r="H84" s="16"/>
      <c r="I84" s="16"/>
    </row>
    <row r="85" spans="1:9" x14ac:dyDescent="0.3">
      <c r="A85" s="11"/>
      <c r="B85" s="16"/>
      <c r="C85" s="16"/>
      <c r="D85" s="16"/>
      <c r="E85" s="16"/>
      <c r="F85" s="16"/>
      <c r="G85" s="16"/>
      <c r="H85" s="16"/>
      <c r="I85" s="16"/>
    </row>
    <row r="86" spans="1:9" x14ac:dyDescent="0.3">
      <c r="A86" s="11"/>
      <c r="B86" s="16"/>
      <c r="C86" s="16"/>
      <c r="D86" s="16"/>
      <c r="E86" s="16"/>
      <c r="F86" s="16"/>
      <c r="G86" s="16"/>
      <c r="H86" s="16"/>
      <c r="I86" s="16"/>
    </row>
    <row r="87" spans="1:9" x14ac:dyDescent="0.3">
      <c r="A87" s="11"/>
      <c r="B87" s="16"/>
      <c r="C87" s="16"/>
      <c r="D87" s="16"/>
      <c r="E87" s="16"/>
      <c r="F87" s="16"/>
      <c r="G87" s="16"/>
      <c r="H87" s="16"/>
      <c r="I87" s="16"/>
    </row>
    <row r="88" spans="1:9" x14ac:dyDescent="0.3">
      <c r="A88" s="11"/>
      <c r="B88" s="16"/>
      <c r="C88" s="16"/>
      <c r="D88" s="16"/>
      <c r="E88" s="16"/>
      <c r="F88" s="16"/>
      <c r="G88" s="16"/>
      <c r="H88" s="16"/>
      <c r="I88" s="16"/>
    </row>
    <row r="89" spans="1:9" x14ac:dyDescent="0.3">
      <c r="A89" s="11"/>
      <c r="B89" s="16"/>
      <c r="C89" s="16"/>
      <c r="D89" s="16"/>
      <c r="E89" s="16"/>
      <c r="F89" s="16"/>
      <c r="G89" s="16"/>
      <c r="H89" s="16"/>
      <c r="I89" s="16"/>
    </row>
    <row r="90" spans="1:9" x14ac:dyDescent="0.3">
      <c r="A90" s="11"/>
      <c r="B90" s="16"/>
      <c r="C90" s="16"/>
      <c r="D90" s="16"/>
      <c r="E90" s="16"/>
      <c r="F90" s="16"/>
      <c r="G90" s="16"/>
      <c r="H90" s="16"/>
      <c r="I90" s="16"/>
    </row>
    <row r="91" spans="1:9" x14ac:dyDescent="0.3">
      <c r="A91" s="11"/>
      <c r="B91" s="16"/>
      <c r="C91" s="16"/>
      <c r="D91" s="16"/>
      <c r="E91" s="16"/>
      <c r="F91" s="16"/>
      <c r="G91" s="16"/>
      <c r="H91" s="16"/>
      <c r="I91" s="16"/>
    </row>
    <row r="92" spans="1:9" x14ac:dyDescent="0.3">
      <c r="A92" s="11"/>
      <c r="B92" s="16"/>
      <c r="C92" s="16"/>
      <c r="D92" s="16"/>
      <c r="E92" s="16"/>
      <c r="F92" s="16"/>
      <c r="G92" s="16"/>
      <c r="H92" s="16"/>
      <c r="I92" s="16"/>
    </row>
    <row r="93" spans="1:9" x14ac:dyDescent="0.3">
      <c r="A93" s="11"/>
      <c r="B93" s="16"/>
      <c r="C93" s="16"/>
      <c r="D93" s="16"/>
      <c r="E93" s="16"/>
      <c r="F93" s="16"/>
      <c r="G93" s="16"/>
      <c r="H93" s="16"/>
      <c r="I93" s="16"/>
    </row>
    <row r="94" spans="1:9" x14ac:dyDescent="0.3">
      <c r="A94" s="11"/>
      <c r="B94" s="16"/>
      <c r="C94" s="16"/>
      <c r="D94" s="16"/>
      <c r="E94" s="16"/>
      <c r="F94" s="16"/>
      <c r="G94" s="16"/>
      <c r="H94" s="16"/>
      <c r="I94" s="16"/>
    </row>
    <row r="95" spans="1:9" x14ac:dyDescent="0.3">
      <c r="A95" s="11"/>
      <c r="B95" s="16"/>
      <c r="C95" s="16"/>
      <c r="D95" s="16"/>
      <c r="E95" s="16"/>
      <c r="F95" s="16"/>
      <c r="G95" s="16"/>
      <c r="H95" s="16"/>
      <c r="I95" s="16"/>
    </row>
    <row r="96" spans="1:9" x14ac:dyDescent="0.3">
      <c r="A96" s="11"/>
      <c r="B96" s="16"/>
      <c r="C96" s="16"/>
      <c r="D96" s="16"/>
      <c r="E96" s="16"/>
      <c r="F96" s="16"/>
      <c r="G96" s="16"/>
      <c r="H96" s="16"/>
      <c r="I96" s="16"/>
    </row>
    <row r="97" spans="1:9" x14ac:dyDescent="0.3">
      <c r="A97" s="11"/>
      <c r="B97" s="16"/>
      <c r="C97" s="16"/>
      <c r="D97" s="16"/>
      <c r="E97" s="16"/>
      <c r="F97" s="16"/>
      <c r="G97" s="16"/>
      <c r="H97" s="16"/>
      <c r="I97" s="16"/>
    </row>
    <row r="98" spans="1:9" x14ac:dyDescent="0.3">
      <c r="A98" s="11"/>
      <c r="B98" s="16"/>
      <c r="C98" s="16"/>
      <c r="D98" s="16"/>
      <c r="E98" s="16"/>
      <c r="F98" s="16"/>
      <c r="G98" s="16"/>
      <c r="H98" s="16"/>
      <c r="I98" s="16"/>
    </row>
    <row r="99" spans="1:9" x14ac:dyDescent="0.3">
      <c r="A99" s="11"/>
      <c r="B99" s="16"/>
      <c r="C99" s="16"/>
      <c r="D99" s="16"/>
      <c r="E99" s="16"/>
      <c r="F99" s="16"/>
      <c r="G99" s="16"/>
      <c r="H99" s="16"/>
      <c r="I99" s="16"/>
    </row>
    <row r="100" spans="1:9" x14ac:dyDescent="0.3">
      <c r="A100" s="11"/>
      <c r="B100" s="16"/>
      <c r="C100" s="16"/>
      <c r="D100" s="16"/>
      <c r="E100" s="16"/>
      <c r="F100" s="16"/>
      <c r="G100" s="16"/>
      <c r="H100" s="16"/>
      <c r="I100" s="16"/>
    </row>
    <row r="101" spans="1:9" x14ac:dyDescent="0.3">
      <c r="A101" s="11"/>
      <c r="B101" s="16"/>
      <c r="C101" s="16"/>
      <c r="D101" s="16"/>
      <c r="E101" s="16"/>
      <c r="F101" s="16"/>
      <c r="G101" s="16"/>
      <c r="H101" s="16"/>
      <c r="I101" s="16"/>
    </row>
    <row r="102" spans="1:9" x14ac:dyDescent="0.3">
      <c r="A102" s="11"/>
      <c r="B102" s="16"/>
      <c r="C102" s="16"/>
      <c r="D102" s="16"/>
      <c r="E102" s="16"/>
      <c r="F102" s="16"/>
      <c r="G102" s="16"/>
      <c r="H102" s="16"/>
      <c r="I102" s="16"/>
    </row>
    <row r="103" spans="1:9" x14ac:dyDescent="0.3">
      <c r="A103" s="11"/>
      <c r="B103" s="16"/>
      <c r="C103" s="16"/>
      <c r="D103" s="16"/>
      <c r="E103" s="16"/>
      <c r="F103" s="16"/>
      <c r="G103" s="16"/>
      <c r="H103" s="16"/>
      <c r="I103" s="16"/>
    </row>
    <row r="104" spans="1:9" x14ac:dyDescent="0.3">
      <c r="A104" s="11"/>
      <c r="B104" s="16"/>
      <c r="C104" s="16"/>
      <c r="D104" s="16"/>
      <c r="E104" s="16"/>
      <c r="F104" s="16"/>
      <c r="G104" s="16"/>
      <c r="H104" s="16"/>
      <c r="I104" s="16"/>
    </row>
    <row r="105" spans="1:9" x14ac:dyDescent="0.3">
      <c r="A105" s="11"/>
      <c r="B105" s="16"/>
      <c r="C105" s="16"/>
      <c r="D105" s="16"/>
      <c r="E105" s="16"/>
      <c r="F105" s="16"/>
      <c r="G105" s="16"/>
      <c r="H105" s="16"/>
      <c r="I105" s="16"/>
    </row>
    <row r="106" spans="1:9" x14ac:dyDescent="0.3">
      <c r="A106" s="11"/>
      <c r="B106" s="16"/>
      <c r="C106" s="16"/>
      <c r="D106" s="16"/>
      <c r="E106" s="16"/>
      <c r="F106" s="16"/>
      <c r="G106" s="16"/>
      <c r="H106" s="16"/>
      <c r="I106" s="16"/>
    </row>
    <row r="107" spans="1:9" x14ac:dyDescent="0.3">
      <c r="A107" s="11"/>
      <c r="B107" s="16"/>
      <c r="C107" s="16"/>
      <c r="D107" s="16"/>
      <c r="E107" s="16"/>
      <c r="F107" s="16"/>
      <c r="G107" s="16"/>
      <c r="H107" s="16"/>
      <c r="I107" s="16"/>
    </row>
    <row r="108" spans="1:9" x14ac:dyDescent="0.3">
      <c r="A108" s="11"/>
      <c r="B108" s="16"/>
      <c r="C108" s="16"/>
      <c r="D108" s="16"/>
      <c r="E108" s="16"/>
      <c r="F108" s="16"/>
      <c r="G108" s="16"/>
      <c r="H108" s="16"/>
      <c r="I108" s="16"/>
    </row>
    <row r="109" spans="1:9" x14ac:dyDescent="0.3">
      <c r="A109" s="11"/>
      <c r="B109" s="16"/>
      <c r="C109" s="16"/>
      <c r="D109" s="16"/>
      <c r="E109" s="16"/>
      <c r="F109" s="16"/>
      <c r="G109" s="16"/>
      <c r="H109" s="16"/>
      <c r="I109" s="16"/>
    </row>
    <row r="110" spans="1:9" x14ac:dyDescent="0.3">
      <c r="A110" s="11"/>
      <c r="B110" s="16"/>
      <c r="C110" s="16"/>
      <c r="D110" s="16"/>
      <c r="E110" s="16"/>
      <c r="F110" s="16"/>
      <c r="G110" s="16"/>
      <c r="H110" s="16"/>
      <c r="I110" s="16"/>
    </row>
    <row r="111" spans="1:9" x14ac:dyDescent="0.3">
      <c r="A111" s="11"/>
      <c r="B111" s="16"/>
      <c r="C111" s="16"/>
      <c r="D111" s="16"/>
      <c r="E111" s="16"/>
      <c r="F111" s="16"/>
      <c r="G111" s="16"/>
      <c r="H111" s="16"/>
      <c r="I111" s="16"/>
    </row>
    <row r="112" spans="1:9" x14ac:dyDescent="0.3">
      <c r="A112" s="11"/>
      <c r="B112" s="16"/>
      <c r="C112" s="16"/>
      <c r="D112" s="16"/>
      <c r="E112" s="16"/>
      <c r="F112" s="16"/>
      <c r="G112" s="16"/>
      <c r="H112" s="16"/>
      <c r="I112" s="16"/>
    </row>
    <row r="113" spans="1:9" x14ac:dyDescent="0.3">
      <c r="A113" s="11"/>
      <c r="B113" s="16"/>
      <c r="C113" s="16"/>
      <c r="D113" s="16"/>
      <c r="E113" s="16"/>
      <c r="F113" s="16"/>
      <c r="G113" s="16"/>
      <c r="H113" s="16"/>
      <c r="I113" s="16"/>
    </row>
    <row r="114" spans="1:9" x14ac:dyDescent="0.3">
      <c r="A114" s="11"/>
      <c r="B114" s="16"/>
      <c r="C114" s="16"/>
      <c r="D114" s="16"/>
      <c r="E114" s="16"/>
      <c r="F114" s="16"/>
      <c r="G114" s="16"/>
      <c r="H114" s="16"/>
      <c r="I114" s="16"/>
    </row>
    <row r="115" spans="1:9" x14ac:dyDescent="0.3">
      <c r="A115" s="11"/>
      <c r="B115" s="16"/>
      <c r="C115" s="16"/>
      <c r="D115" s="16"/>
      <c r="E115" s="16"/>
      <c r="F115" s="16"/>
      <c r="G115" s="16"/>
      <c r="H115" s="16"/>
      <c r="I115" s="16"/>
    </row>
    <row r="116" spans="1:9" x14ac:dyDescent="0.3">
      <c r="A116" s="11"/>
      <c r="B116" s="16"/>
      <c r="C116" s="16"/>
      <c r="D116" s="16"/>
      <c r="E116" s="16"/>
      <c r="F116" s="16"/>
      <c r="G116" s="16"/>
      <c r="H116" s="16"/>
      <c r="I116" s="16"/>
    </row>
    <row r="117" spans="1:9" x14ac:dyDescent="0.3">
      <c r="A117" s="11"/>
      <c r="B117" s="16"/>
      <c r="C117" s="16"/>
      <c r="D117" s="16"/>
      <c r="E117" s="16"/>
      <c r="F117" s="16"/>
      <c r="G117" s="16"/>
      <c r="H117" s="16"/>
      <c r="I117" s="16"/>
    </row>
    <row r="118" spans="1:9" x14ac:dyDescent="0.3">
      <c r="A118" s="11"/>
      <c r="B118" s="16"/>
      <c r="C118" s="16"/>
      <c r="D118" s="16"/>
      <c r="E118" s="16"/>
      <c r="F118" s="16"/>
      <c r="G118" s="16"/>
      <c r="H118" s="16"/>
      <c r="I118" s="16"/>
    </row>
    <row r="119" spans="1:9" x14ac:dyDescent="0.3">
      <c r="A119" s="11"/>
      <c r="B119" s="16"/>
      <c r="C119" s="16"/>
      <c r="D119" s="16"/>
      <c r="E119" s="16"/>
      <c r="F119" s="16"/>
      <c r="G119" s="16"/>
      <c r="H119" s="16"/>
      <c r="I119" s="16"/>
    </row>
    <row r="120" spans="1:9" x14ac:dyDescent="0.3">
      <c r="A120" s="11"/>
      <c r="B120" s="16"/>
      <c r="C120" s="16"/>
      <c r="D120" s="16"/>
      <c r="E120" s="16"/>
      <c r="F120" s="16"/>
      <c r="G120" s="16"/>
      <c r="H120" s="16"/>
      <c r="I120" s="16"/>
    </row>
    <row r="121" spans="1:9" x14ac:dyDescent="0.3">
      <c r="A121" s="11"/>
      <c r="B121" s="16"/>
      <c r="C121" s="16"/>
      <c r="D121" s="16"/>
      <c r="E121" s="16"/>
      <c r="F121" s="16"/>
      <c r="G121" s="16"/>
      <c r="H121" s="16"/>
      <c r="I121" s="16"/>
    </row>
    <row r="122" spans="1:9" x14ac:dyDescent="0.3">
      <c r="A122" s="11"/>
      <c r="B122" s="16"/>
      <c r="C122" s="16"/>
      <c r="D122" s="16"/>
      <c r="E122" s="16"/>
      <c r="F122" s="16"/>
      <c r="G122" s="16"/>
      <c r="H122" s="16"/>
      <c r="I122" s="16"/>
    </row>
    <row r="123" spans="1:9" x14ac:dyDescent="0.3">
      <c r="A123" s="11"/>
      <c r="B123" s="16"/>
      <c r="C123" s="16"/>
      <c r="D123" s="16"/>
      <c r="E123" s="16"/>
      <c r="F123" s="16"/>
      <c r="G123" s="16"/>
      <c r="H123" s="16"/>
      <c r="I123" s="16"/>
    </row>
    <row r="124" spans="1:9" x14ac:dyDescent="0.3">
      <c r="A124" s="11"/>
      <c r="B124" s="16"/>
      <c r="C124" s="16"/>
      <c r="D124" s="16"/>
      <c r="E124" s="16"/>
      <c r="F124" s="16"/>
      <c r="G124" s="16"/>
      <c r="H124" s="16"/>
      <c r="I124" s="16"/>
    </row>
    <row r="125" spans="1:9" x14ac:dyDescent="0.3">
      <c r="A125" s="11"/>
      <c r="B125" s="16"/>
      <c r="C125" s="16"/>
      <c r="D125" s="16"/>
      <c r="E125" s="16"/>
      <c r="F125" s="16"/>
      <c r="G125" s="16"/>
      <c r="H125" s="16"/>
      <c r="I125" s="16"/>
    </row>
    <row r="126" spans="1:9" x14ac:dyDescent="0.3">
      <c r="A126" s="11"/>
      <c r="B126" s="16"/>
      <c r="C126" s="16"/>
      <c r="D126" s="16"/>
      <c r="E126" s="16"/>
      <c r="F126" s="16"/>
      <c r="G126" s="16"/>
      <c r="H126" s="16"/>
      <c r="I126" s="16"/>
    </row>
    <row r="127" spans="1:9" x14ac:dyDescent="0.3">
      <c r="A127" s="11"/>
      <c r="B127" s="16"/>
      <c r="C127" s="16"/>
      <c r="D127" s="16"/>
      <c r="E127" s="16"/>
      <c r="F127" s="16"/>
      <c r="G127" s="16"/>
      <c r="H127" s="16"/>
      <c r="I127" s="16"/>
    </row>
    <row r="128" spans="1:9" x14ac:dyDescent="0.3">
      <c r="A128" s="11"/>
      <c r="B128" s="16"/>
      <c r="C128" s="16"/>
      <c r="D128" s="16"/>
      <c r="E128" s="16"/>
      <c r="F128" s="16"/>
      <c r="G128" s="16"/>
      <c r="H128" s="16"/>
      <c r="I128" s="16"/>
    </row>
    <row r="129" spans="1:9" x14ac:dyDescent="0.3">
      <c r="A129" s="11"/>
      <c r="B129" s="16"/>
      <c r="C129" s="16"/>
      <c r="D129" s="16"/>
      <c r="E129" s="16"/>
      <c r="F129" s="16"/>
      <c r="G129" s="16"/>
      <c r="H129" s="16"/>
      <c r="I129" s="16"/>
    </row>
    <row r="130" spans="1:9" x14ac:dyDescent="0.3">
      <c r="A130" s="11"/>
      <c r="B130" s="16"/>
      <c r="C130" s="16"/>
      <c r="D130" s="16"/>
      <c r="E130" s="16"/>
      <c r="F130" s="16"/>
      <c r="G130" s="16"/>
      <c r="H130" s="16"/>
      <c r="I130" s="16"/>
    </row>
    <row r="131" spans="1:9" x14ac:dyDescent="0.3">
      <c r="A131" s="11"/>
      <c r="B131" s="16"/>
      <c r="C131" s="16"/>
      <c r="D131" s="16"/>
      <c r="E131" s="16"/>
      <c r="F131" s="16"/>
      <c r="G131" s="16"/>
      <c r="H131" s="16"/>
      <c r="I131" s="16"/>
    </row>
    <row r="132" spans="1:9" x14ac:dyDescent="0.3">
      <c r="A132" s="11"/>
      <c r="B132" s="16"/>
      <c r="C132" s="16"/>
      <c r="D132" s="16"/>
      <c r="E132" s="16"/>
      <c r="F132" s="16"/>
      <c r="G132" s="16"/>
      <c r="H132" s="16"/>
      <c r="I132" s="16"/>
    </row>
    <row r="133" spans="1:9" x14ac:dyDescent="0.3">
      <c r="A133" s="11"/>
      <c r="B133" s="16"/>
      <c r="C133" s="16"/>
      <c r="D133" s="16"/>
      <c r="E133" s="16"/>
      <c r="F133" s="16"/>
      <c r="G133" s="16"/>
      <c r="H133" s="16"/>
      <c r="I133" s="16"/>
    </row>
    <row r="134" spans="1:9" x14ac:dyDescent="0.3">
      <c r="A134" s="11"/>
      <c r="B134" s="16"/>
      <c r="C134" s="16"/>
      <c r="D134" s="16"/>
      <c r="E134" s="16"/>
      <c r="F134" s="16"/>
      <c r="G134" s="16"/>
      <c r="H134" s="16"/>
      <c r="I134" s="16"/>
    </row>
    <row r="135" spans="1:9" x14ac:dyDescent="0.3">
      <c r="A135" s="11"/>
      <c r="B135" s="16"/>
      <c r="C135" s="16"/>
      <c r="D135" s="16"/>
      <c r="E135" s="16"/>
      <c r="F135" s="16"/>
      <c r="G135" s="16"/>
      <c r="H135" s="16"/>
      <c r="I135" s="16"/>
    </row>
    <row r="136" spans="1:9" x14ac:dyDescent="0.3">
      <c r="A136" s="11"/>
      <c r="B136" s="16"/>
      <c r="C136" s="16"/>
      <c r="D136" s="16"/>
      <c r="E136" s="16"/>
      <c r="F136" s="16"/>
      <c r="G136" s="16"/>
      <c r="H136" s="16"/>
      <c r="I136" s="16"/>
    </row>
    <row r="137" spans="1:9" x14ac:dyDescent="0.3">
      <c r="A137" s="11"/>
      <c r="B137" s="16"/>
      <c r="C137" s="16"/>
      <c r="D137" s="16"/>
      <c r="E137" s="16"/>
      <c r="F137" s="16"/>
      <c r="G137" s="16"/>
      <c r="H137" s="16"/>
      <c r="I137" s="16"/>
    </row>
    <row r="138" spans="1:9" x14ac:dyDescent="0.3">
      <c r="A138" s="11"/>
      <c r="B138" s="16"/>
      <c r="C138" s="16"/>
      <c r="D138" s="16"/>
      <c r="E138" s="16"/>
      <c r="F138" s="16"/>
      <c r="G138" s="16"/>
      <c r="H138" s="16"/>
      <c r="I138" s="16"/>
    </row>
    <row r="139" spans="1:9" x14ac:dyDescent="0.3">
      <c r="A139" s="11"/>
      <c r="B139" s="16"/>
      <c r="C139" s="16"/>
      <c r="D139" s="16"/>
      <c r="E139" s="16"/>
      <c r="F139" s="16"/>
      <c r="G139" s="16"/>
      <c r="H139" s="16"/>
      <c r="I139" s="16"/>
    </row>
    <row r="140" spans="1:9" x14ac:dyDescent="0.3">
      <c r="A140" s="11"/>
      <c r="B140" s="16"/>
      <c r="C140" s="16"/>
      <c r="D140" s="16"/>
      <c r="E140" s="16"/>
      <c r="F140" s="16"/>
      <c r="G140" s="16"/>
      <c r="H140" s="16"/>
      <c r="I140" s="16"/>
    </row>
    <row r="141" spans="1:9" x14ac:dyDescent="0.3">
      <c r="A141" s="11"/>
      <c r="B141" s="16"/>
      <c r="C141" s="16"/>
      <c r="D141" s="16"/>
      <c r="E141" s="16"/>
      <c r="F141" s="16"/>
      <c r="G141" s="16"/>
      <c r="H141" s="16"/>
      <c r="I141" s="16"/>
    </row>
    <row r="142" spans="1:9" x14ac:dyDescent="0.3">
      <c r="A142" s="11"/>
      <c r="B142" s="16"/>
      <c r="C142" s="16"/>
      <c r="D142" s="16"/>
      <c r="E142" s="16"/>
      <c r="F142" s="16"/>
      <c r="G142" s="16"/>
      <c r="H142" s="16"/>
      <c r="I142" s="16"/>
    </row>
    <row r="143" spans="1:9" x14ac:dyDescent="0.3">
      <c r="A143" s="11"/>
      <c r="B143" s="16"/>
      <c r="C143" s="16"/>
      <c r="D143" s="16"/>
      <c r="E143" s="16"/>
      <c r="F143" s="16"/>
      <c r="G143" s="16"/>
      <c r="H143" s="16"/>
      <c r="I143" s="16"/>
    </row>
    <row r="144" spans="1:9" x14ac:dyDescent="0.3">
      <c r="A144" s="11"/>
      <c r="B144" s="16"/>
      <c r="C144" s="16"/>
      <c r="D144" s="16"/>
      <c r="E144" s="16"/>
      <c r="F144" s="16"/>
      <c r="G144" s="16"/>
      <c r="H144" s="16"/>
      <c r="I144" s="16"/>
    </row>
    <row r="145" spans="1:9" x14ac:dyDescent="0.3">
      <c r="A145" s="11"/>
      <c r="B145" s="16"/>
      <c r="C145" s="16"/>
      <c r="D145" s="16"/>
      <c r="E145" s="16"/>
      <c r="F145" s="16"/>
      <c r="G145" s="16"/>
      <c r="H145" s="16"/>
      <c r="I145" s="16"/>
    </row>
    <row r="146" spans="1:9" x14ac:dyDescent="0.3">
      <c r="A146" s="11"/>
      <c r="B146" s="16"/>
      <c r="C146" s="16"/>
      <c r="D146" s="16"/>
      <c r="E146" s="16"/>
      <c r="F146" s="16"/>
      <c r="G146" s="16"/>
      <c r="H146" s="16"/>
      <c r="I146" s="16"/>
    </row>
    <row r="147" spans="1:9" x14ac:dyDescent="0.3">
      <c r="A147" s="11"/>
      <c r="B147" s="16"/>
      <c r="C147" s="16"/>
      <c r="D147" s="16"/>
      <c r="E147" s="16"/>
      <c r="F147" s="16"/>
      <c r="G147" s="16"/>
      <c r="H147" s="16"/>
      <c r="I147" s="16"/>
    </row>
    <row r="148" spans="1:9" x14ac:dyDescent="0.3">
      <c r="A148" s="11"/>
      <c r="B148" s="16"/>
      <c r="C148" s="16"/>
      <c r="D148" s="16"/>
      <c r="E148" s="16"/>
      <c r="F148" s="16"/>
      <c r="G148" s="16"/>
      <c r="H148" s="16"/>
      <c r="I148" s="16"/>
    </row>
    <row r="149" spans="1:9" x14ac:dyDescent="0.3">
      <c r="A149" s="11"/>
      <c r="B149" s="16"/>
      <c r="C149" s="16"/>
      <c r="D149" s="16"/>
      <c r="E149" s="16"/>
      <c r="F149" s="16"/>
      <c r="G149" s="16"/>
      <c r="H149" s="16"/>
      <c r="I149" s="16"/>
    </row>
    <row r="150" spans="1:9" x14ac:dyDescent="0.3">
      <c r="A150" s="11"/>
      <c r="B150" s="16"/>
      <c r="C150" s="16"/>
      <c r="D150" s="16"/>
      <c r="E150" s="16"/>
      <c r="F150" s="16"/>
      <c r="G150" s="16"/>
      <c r="H150" s="16"/>
      <c r="I150" s="16"/>
    </row>
    <row r="151" spans="1:9" x14ac:dyDescent="0.3">
      <c r="A151" s="11"/>
      <c r="B151" s="16"/>
      <c r="C151" s="16"/>
      <c r="D151" s="16"/>
      <c r="E151" s="16"/>
      <c r="F151" s="16"/>
      <c r="G151" s="16"/>
      <c r="H151" s="16"/>
      <c r="I151" s="16"/>
    </row>
    <row r="152" spans="1:9" x14ac:dyDescent="0.3">
      <c r="A152" s="11"/>
      <c r="B152" s="16"/>
      <c r="C152" s="16"/>
      <c r="D152" s="16"/>
      <c r="E152" s="16"/>
      <c r="F152" s="16"/>
      <c r="G152" s="16"/>
      <c r="H152" s="16"/>
      <c r="I152" s="16"/>
    </row>
    <row r="153" spans="1:9" x14ac:dyDescent="0.3">
      <c r="A153" s="11"/>
      <c r="B153" s="16"/>
      <c r="C153" s="16"/>
      <c r="D153" s="16"/>
      <c r="E153" s="16"/>
      <c r="F153" s="16"/>
      <c r="G153" s="16"/>
      <c r="H153" s="16"/>
      <c r="I153" s="16"/>
    </row>
    <row r="154" spans="1:9" x14ac:dyDescent="0.3">
      <c r="A154" s="11"/>
      <c r="B154" s="16"/>
      <c r="C154" s="16"/>
      <c r="D154" s="16"/>
      <c r="E154" s="16"/>
      <c r="F154" s="16"/>
      <c r="G154" s="16"/>
      <c r="H154" s="16"/>
      <c r="I154" s="16"/>
    </row>
    <row r="155" spans="1:9" x14ac:dyDescent="0.3">
      <c r="A155" s="11"/>
      <c r="B155" s="16"/>
      <c r="C155" s="16"/>
      <c r="D155" s="16"/>
      <c r="E155" s="16"/>
      <c r="F155" s="16"/>
      <c r="G155" s="16"/>
      <c r="H155" s="16"/>
      <c r="I155" s="16"/>
    </row>
    <row r="156" spans="1:9" x14ac:dyDescent="0.3">
      <c r="A156" s="11"/>
      <c r="B156" s="16"/>
      <c r="C156" s="16"/>
      <c r="D156" s="16"/>
      <c r="E156" s="16"/>
      <c r="F156" s="16"/>
      <c r="G156" s="16"/>
      <c r="H156" s="16"/>
      <c r="I156" s="16"/>
    </row>
    <row r="157" spans="1:9" x14ac:dyDescent="0.3">
      <c r="A157" s="11"/>
      <c r="B157" s="16"/>
      <c r="C157" s="16"/>
      <c r="D157" s="16"/>
      <c r="E157" s="16"/>
      <c r="F157" s="16"/>
      <c r="G157" s="16"/>
      <c r="H157" s="16"/>
      <c r="I157" s="16"/>
    </row>
    <row r="158" spans="1:9" x14ac:dyDescent="0.3">
      <c r="A158" s="11"/>
      <c r="B158" s="16"/>
      <c r="C158" s="16"/>
      <c r="D158" s="16"/>
      <c r="E158" s="16"/>
      <c r="F158" s="16"/>
      <c r="G158" s="16"/>
      <c r="H158" s="16"/>
      <c r="I158" s="16"/>
    </row>
    <row r="159" spans="1:9" x14ac:dyDescent="0.3">
      <c r="A159" s="11"/>
      <c r="B159" s="16"/>
      <c r="C159" s="16"/>
      <c r="D159" s="16"/>
      <c r="E159" s="16"/>
      <c r="F159" s="16"/>
      <c r="G159" s="16"/>
      <c r="H159" s="16"/>
      <c r="I159" s="16"/>
    </row>
    <row r="160" spans="1:9" x14ac:dyDescent="0.3">
      <c r="A160" s="11"/>
      <c r="B160" s="16"/>
      <c r="C160" s="16"/>
      <c r="D160" s="16"/>
      <c r="E160" s="16"/>
      <c r="F160" s="16"/>
      <c r="G160" s="16"/>
      <c r="H160" s="16"/>
      <c r="I160" s="16"/>
    </row>
    <row r="161" spans="1:9" x14ac:dyDescent="0.3">
      <c r="A161" s="11"/>
      <c r="B161" s="16"/>
      <c r="C161" s="16"/>
      <c r="D161" s="16"/>
      <c r="E161" s="16"/>
      <c r="F161" s="16"/>
      <c r="G161" s="16"/>
      <c r="H161" s="16"/>
      <c r="I161" s="16"/>
    </row>
    <row r="162" spans="1:9" x14ac:dyDescent="0.3">
      <c r="A162" s="11"/>
      <c r="B162" s="16"/>
      <c r="C162" s="16"/>
      <c r="D162" s="16"/>
      <c r="E162" s="16"/>
      <c r="F162" s="16"/>
      <c r="G162" s="16"/>
      <c r="H162" s="16"/>
      <c r="I162" s="16"/>
    </row>
    <row r="163" spans="1:9" x14ac:dyDescent="0.3">
      <c r="A163" s="11"/>
      <c r="B163" s="16"/>
      <c r="C163" s="16"/>
      <c r="D163" s="16"/>
      <c r="E163" s="16"/>
      <c r="F163" s="16"/>
      <c r="G163" s="16"/>
      <c r="H163" s="16"/>
      <c r="I163" s="16"/>
    </row>
    <row r="164" spans="1:9" x14ac:dyDescent="0.3">
      <c r="A164" s="11"/>
      <c r="B164" s="16"/>
      <c r="C164" s="16"/>
      <c r="D164" s="16"/>
      <c r="E164" s="16"/>
      <c r="F164" s="16"/>
      <c r="G164" s="16"/>
      <c r="H164" s="16"/>
      <c r="I164" s="16"/>
    </row>
    <row r="165" spans="1:9" x14ac:dyDescent="0.3">
      <c r="A165" s="11"/>
      <c r="B165" s="16"/>
      <c r="C165" s="16"/>
      <c r="D165" s="16"/>
      <c r="E165" s="16"/>
      <c r="F165" s="16"/>
      <c r="G165" s="16"/>
      <c r="H165" s="16"/>
      <c r="I165" s="16"/>
    </row>
    <row r="166" spans="1:9" x14ac:dyDescent="0.3">
      <c r="A166" s="11"/>
      <c r="B166" s="16"/>
      <c r="C166" s="16"/>
      <c r="D166" s="16"/>
      <c r="E166" s="16"/>
      <c r="F166" s="16"/>
      <c r="G166" s="16"/>
      <c r="H166" s="16"/>
      <c r="I166" s="16"/>
    </row>
    <row r="167" spans="1:9" x14ac:dyDescent="0.3">
      <c r="A167" s="11"/>
      <c r="B167" s="16"/>
      <c r="C167" s="16"/>
      <c r="D167" s="16"/>
      <c r="E167" s="16"/>
      <c r="F167" s="16"/>
      <c r="G167" s="16"/>
      <c r="H167" s="16"/>
      <c r="I167" s="16"/>
    </row>
    <row r="168" spans="1:9" x14ac:dyDescent="0.3">
      <c r="A168" s="11"/>
      <c r="B168" s="16"/>
      <c r="C168" s="16"/>
      <c r="D168" s="16"/>
      <c r="E168" s="16"/>
      <c r="F168" s="16"/>
      <c r="G168" s="16"/>
      <c r="H168" s="16"/>
      <c r="I168" s="16"/>
    </row>
    <row r="169" spans="1:9" x14ac:dyDescent="0.3">
      <c r="A169" s="11"/>
      <c r="B169" s="16"/>
      <c r="C169" s="16"/>
      <c r="D169" s="16"/>
      <c r="E169" s="16"/>
      <c r="F169" s="16"/>
      <c r="G169" s="16"/>
      <c r="H169" s="16"/>
      <c r="I169" s="16"/>
    </row>
    <row r="170" spans="1:9" x14ac:dyDescent="0.3">
      <c r="A170" s="11"/>
      <c r="B170" s="16"/>
      <c r="C170" s="16"/>
      <c r="D170" s="16"/>
      <c r="E170" s="16"/>
      <c r="F170" s="16"/>
      <c r="G170" s="16"/>
      <c r="H170" s="16"/>
      <c r="I170" s="16"/>
    </row>
    <row r="171" spans="1:9" x14ac:dyDescent="0.3">
      <c r="A171" s="11"/>
      <c r="B171" s="16"/>
      <c r="C171" s="16"/>
      <c r="D171" s="16"/>
      <c r="E171" s="16"/>
      <c r="F171" s="16"/>
      <c r="G171" s="16"/>
      <c r="H171" s="16"/>
      <c r="I171" s="16"/>
    </row>
    <row r="172" spans="1:9" x14ac:dyDescent="0.3">
      <c r="A172" s="11"/>
      <c r="B172" s="16"/>
      <c r="C172" s="16"/>
      <c r="D172" s="16"/>
      <c r="E172" s="16"/>
      <c r="F172" s="16"/>
      <c r="G172" s="16"/>
      <c r="H172" s="16"/>
      <c r="I172" s="16"/>
    </row>
    <row r="173" spans="1:9" x14ac:dyDescent="0.3">
      <c r="A173" s="11"/>
      <c r="B173" s="16"/>
      <c r="C173" s="16"/>
      <c r="D173" s="16"/>
      <c r="E173" s="16"/>
      <c r="F173" s="16"/>
      <c r="G173" s="16"/>
      <c r="H173" s="16"/>
      <c r="I173" s="16"/>
    </row>
    <row r="174" spans="1:9" x14ac:dyDescent="0.3">
      <c r="A174" s="11"/>
      <c r="B174" s="16"/>
      <c r="C174" s="16"/>
      <c r="D174" s="16"/>
      <c r="E174" s="16"/>
      <c r="F174" s="16"/>
      <c r="G174" s="16"/>
      <c r="H174" s="16"/>
      <c r="I174" s="16"/>
    </row>
    <row r="175" spans="1:9" x14ac:dyDescent="0.3">
      <c r="A175" s="11"/>
      <c r="B175" s="16"/>
      <c r="C175" s="16"/>
      <c r="D175" s="16"/>
      <c r="E175" s="16"/>
      <c r="F175" s="16"/>
      <c r="G175" s="16"/>
      <c r="H175" s="16"/>
      <c r="I175" s="16"/>
    </row>
    <row r="176" spans="1:9" x14ac:dyDescent="0.3">
      <c r="A176" s="11"/>
      <c r="B176" s="16"/>
      <c r="C176" s="16"/>
      <c r="D176" s="16"/>
      <c r="E176" s="16"/>
      <c r="F176" s="16"/>
      <c r="G176" s="16"/>
      <c r="H176" s="16"/>
      <c r="I176" s="16"/>
    </row>
    <row r="177" spans="1:9" x14ac:dyDescent="0.3">
      <c r="A177" s="11"/>
      <c r="B177" s="16"/>
      <c r="C177" s="16"/>
      <c r="D177" s="16"/>
      <c r="E177" s="16"/>
      <c r="F177" s="16"/>
      <c r="G177" s="16"/>
      <c r="H177" s="16"/>
      <c r="I177" s="16"/>
    </row>
    <row r="178" spans="1:9" x14ac:dyDescent="0.3">
      <c r="A178" s="11"/>
      <c r="B178" s="16"/>
      <c r="C178" s="16"/>
      <c r="D178" s="16"/>
      <c r="E178" s="16"/>
      <c r="F178" s="16"/>
      <c r="G178" s="16"/>
      <c r="H178" s="16"/>
      <c r="I178" s="16"/>
    </row>
    <row r="179" spans="1:9" x14ac:dyDescent="0.3">
      <c r="A179" s="11"/>
      <c r="B179" s="16"/>
      <c r="C179" s="16"/>
      <c r="D179" s="16"/>
      <c r="E179" s="16"/>
      <c r="F179" s="16"/>
      <c r="G179" s="16"/>
      <c r="H179" s="16"/>
      <c r="I179" s="16"/>
    </row>
    <row r="180" spans="1:9" x14ac:dyDescent="0.3">
      <c r="A180" s="11"/>
      <c r="B180" s="16"/>
      <c r="C180" s="16"/>
      <c r="D180" s="16"/>
      <c r="E180" s="16"/>
      <c r="F180" s="16"/>
      <c r="G180" s="16"/>
      <c r="H180" s="16"/>
      <c r="I180" s="16"/>
    </row>
    <row r="181" spans="1:9" x14ac:dyDescent="0.3">
      <c r="A181" s="11"/>
      <c r="B181" s="16"/>
      <c r="C181" s="16"/>
      <c r="D181" s="16"/>
      <c r="E181" s="16"/>
      <c r="F181" s="16"/>
      <c r="G181" s="16"/>
      <c r="H181" s="16"/>
      <c r="I181" s="16"/>
    </row>
    <row r="182" spans="1:9" x14ac:dyDescent="0.3">
      <c r="A182" s="11"/>
      <c r="B182" s="16"/>
      <c r="C182" s="16"/>
      <c r="D182" s="16"/>
      <c r="E182" s="16"/>
      <c r="F182" s="16"/>
      <c r="G182" s="16"/>
      <c r="H182" s="16"/>
      <c r="I182" s="16"/>
    </row>
    <row r="183" spans="1:9" x14ac:dyDescent="0.3">
      <c r="A183" s="11"/>
      <c r="B183" s="16"/>
      <c r="C183" s="16"/>
      <c r="D183" s="16"/>
      <c r="E183" s="16"/>
      <c r="F183" s="16"/>
      <c r="G183" s="16"/>
      <c r="H183" s="16"/>
      <c r="I183" s="16"/>
    </row>
    <row r="184" spans="1:9" x14ac:dyDescent="0.3">
      <c r="A184" s="11"/>
      <c r="B184" s="16"/>
      <c r="C184" s="16"/>
      <c r="D184" s="16"/>
      <c r="E184" s="16"/>
      <c r="F184" s="16"/>
      <c r="G184" s="16"/>
      <c r="H184" s="16"/>
      <c r="I184" s="16"/>
    </row>
    <row r="185" spans="1:9" x14ac:dyDescent="0.3">
      <c r="A185" s="11"/>
      <c r="B185" s="16"/>
      <c r="C185" s="16"/>
      <c r="D185" s="16"/>
      <c r="E185" s="16"/>
      <c r="F185" s="16"/>
      <c r="G185" s="16"/>
      <c r="H185" s="16"/>
      <c r="I185" s="16"/>
    </row>
    <row r="186" spans="1:9" x14ac:dyDescent="0.3">
      <c r="A186" s="11"/>
      <c r="B186" s="16"/>
      <c r="C186" s="16"/>
      <c r="D186" s="16"/>
      <c r="E186" s="16"/>
      <c r="F186" s="16"/>
      <c r="G186" s="16"/>
      <c r="H186" s="16"/>
      <c r="I186" s="16"/>
    </row>
    <row r="187" spans="1:9" x14ac:dyDescent="0.3">
      <c r="A187" s="11"/>
      <c r="B187" s="16"/>
      <c r="C187" s="16"/>
      <c r="D187" s="16"/>
      <c r="E187" s="16"/>
      <c r="F187" s="16"/>
      <c r="G187" s="16"/>
      <c r="H187" s="16"/>
      <c r="I187" s="16"/>
    </row>
    <row r="188" spans="1:9" x14ac:dyDescent="0.3">
      <c r="A188" s="11"/>
      <c r="B188" s="16"/>
      <c r="C188" s="16"/>
      <c r="D188" s="16"/>
      <c r="E188" s="16"/>
      <c r="F188" s="16"/>
      <c r="G188" s="16"/>
      <c r="H188" s="16"/>
      <c r="I188" s="16"/>
    </row>
    <row r="189" spans="1:9" x14ac:dyDescent="0.3">
      <c r="A189" s="11"/>
      <c r="B189" s="16"/>
      <c r="C189" s="16"/>
      <c r="D189" s="16"/>
      <c r="E189" s="16"/>
      <c r="F189" s="16"/>
      <c r="G189" s="16"/>
      <c r="H189" s="16"/>
      <c r="I189" s="16"/>
    </row>
    <row r="190" spans="1:9" x14ac:dyDescent="0.3">
      <c r="A190" s="11"/>
      <c r="B190" s="16"/>
      <c r="C190" s="16"/>
      <c r="D190" s="16"/>
      <c r="E190" s="16"/>
      <c r="F190" s="16"/>
      <c r="G190" s="16"/>
      <c r="H190" s="16"/>
      <c r="I190" s="16"/>
    </row>
    <row r="191" spans="1:9" x14ac:dyDescent="0.3">
      <c r="A191" s="11"/>
      <c r="B191" s="16"/>
      <c r="C191" s="16"/>
      <c r="D191" s="16"/>
      <c r="E191" s="16"/>
      <c r="F191" s="16"/>
      <c r="G191" s="16"/>
      <c r="H191" s="16"/>
      <c r="I191" s="16"/>
    </row>
    <row r="192" spans="1:9" x14ac:dyDescent="0.3">
      <c r="A192" s="11"/>
      <c r="B192" s="16"/>
      <c r="C192" s="16"/>
      <c r="D192" s="16"/>
      <c r="E192" s="16"/>
      <c r="F192" s="16"/>
      <c r="G192" s="16"/>
      <c r="H192" s="16"/>
      <c r="I192" s="16"/>
    </row>
    <row r="193" spans="1:9" x14ac:dyDescent="0.3">
      <c r="A193" s="11"/>
      <c r="B193" s="16"/>
      <c r="C193" s="16"/>
      <c r="D193" s="16"/>
      <c r="E193" s="16"/>
      <c r="F193" s="16"/>
      <c r="G193" s="16"/>
      <c r="H193" s="16"/>
      <c r="I193" s="16"/>
    </row>
    <row r="194" spans="1:9" x14ac:dyDescent="0.3">
      <c r="A194" s="11"/>
      <c r="B194" s="16"/>
      <c r="C194" s="16"/>
      <c r="D194" s="16"/>
      <c r="E194" s="16"/>
      <c r="F194" s="16"/>
      <c r="G194" s="16"/>
      <c r="H194" s="16"/>
      <c r="I194" s="16"/>
    </row>
    <row r="195" spans="1:9" x14ac:dyDescent="0.3">
      <c r="A195" s="11"/>
      <c r="B195" s="16"/>
      <c r="C195" s="16"/>
      <c r="D195" s="16"/>
      <c r="E195" s="16"/>
      <c r="F195" s="16"/>
      <c r="G195" s="16"/>
      <c r="H195" s="16"/>
      <c r="I195" s="16"/>
    </row>
    <row r="196" spans="1:9" x14ac:dyDescent="0.3">
      <c r="A196" s="11"/>
      <c r="B196" s="16"/>
      <c r="C196" s="16"/>
      <c r="D196" s="16"/>
      <c r="E196" s="16"/>
      <c r="F196" s="16"/>
      <c r="G196" s="16"/>
      <c r="H196" s="16"/>
      <c r="I196" s="16"/>
    </row>
    <row r="197" spans="1:9" x14ac:dyDescent="0.3">
      <c r="A197" s="11"/>
      <c r="B197" s="16"/>
      <c r="C197" s="16"/>
      <c r="D197" s="16"/>
      <c r="E197" s="16"/>
      <c r="F197" s="16"/>
      <c r="G197" s="16"/>
      <c r="H197" s="16"/>
      <c r="I197" s="16"/>
    </row>
    <row r="198" spans="1:9" x14ac:dyDescent="0.3">
      <c r="A198" s="11"/>
      <c r="B198" s="16"/>
      <c r="C198" s="16"/>
      <c r="D198" s="16"/>
      <c r="E198" s="16"/>
      <c r="F198" s="16"/>
      <c r="G198" s="16"/>
      <c r="H198" s="16"/>
      <c r="I198" s="16"/>
    </row>
    <row r="199" spans="1:9" x14ac:dyDescent="0.3">
      <c r="A199" s="11"/>
      <c r="B199" s="16"/>
      <c r="C199" s="16"/>
      <c r="D199" s="16"/>
      <c r="E199" s="16"/>
      <c r="F199" s="16"/>
      <c r="G199" s="16"/>
      <c r="H199" s="16"/>
      <c r="I199" s="16"/>
    </row>
    <row r="200" spans="1:9" x14ac:dyDescent="0.3">
      <c r="A200" s="11"/>
      <c r="B200" s="16"/>
      <c r="C200" s="16"/>
      <c r="D200" s="16"/>
      <c r="E200" s="16"/>
      <c r="F200" s="16"/>
      <c r="G200" s="16"/>
      <c r="H200" s="16"/>
      <c r="I200" s="16"/>
    </row>
    <row r="201" spans="1:9" x14ac:dyDescent="0.3">
      <c r="A201" s="11"/>
      <c r="B201" s="16"/>
      <c r="C201" s="16"/>
      <c r="D201" s="16"/>
      <c r="E201" s="16"/>
      <c r="F201" s="16"/>
      <c r="G201" s="16"/>
      <c r="H201" s="16"/>
      <c r="I201" s="16"/>
    </row>
    <row r="202" spans="1:9" x14ac:dyDescent="0.3">
      <c r="A202" s="11"/>
      <c r="B202" s="16"/>
      <c r="C202" s="16"/>
      <c r="D202" s="16"/>
      <c r="E202" s="16"/>
      <c r="F202" s="16"/>
      <c r="G202" s="16"/>
      <c r="H202" s="16"/>
      <c r="I202" s="16"/>
    </row>
    <row r="203" spans="1:9" x14ac:dyDescent="0.3">
      <c r="A203" s="11"/>
      <c r="B203" s="16"/>
      <c r="C203" s="16"/>
      <c r="D203" s="16"/>
      <c r="E203" s="16"/>
      <c r="F203" s="16"/>
      <c r="G203" s="16"/>
      <c r="H203" s="16"/>
      <c r="I203" s="16"/>
    </row>
    <row r="204" spans="1:9" x14ac:dyDescent="0.3">
      <c r="A204" s="11"/>
      <c r="B204" s="16"/>
      <c r="C204" s="16"/>
      <c r="D204" s="16"/>
      <c r="E204" s="16"/>
      <c r="F204" s="16"/>
      <c r="G204" s="16"/>
      <c r="H204" s="16"/>
      <c r="I204" s="16"/>
    </row>
    <row r="205" spans="1:9" x14ac:dyDescent="0.3">
      <c r="A205" s="11"/>
      <c r="B205" s="16"/>
      <c r="C205" s="16"/>
      <c r="D205" s="16"/>
      <c r="E205" s="16"/>
      <c r="F205" s="16"/>
      <c r="G205" s="16"/>
      <c r="H205" s="16"/>
      <c r="I205" s="16"/>
    </row>
    <row r="206" spans="1:9" x14ac:dyDescent="0.3">
      <c r="A206" s="11"/>
      <c r="B206" s="16"/>
      <c r="C206" s="16"/>
      <c r="D206" s="16"/>
      <c r="E206" s="16"/>
      <c r="F206" s="16"/>
      <c r="G206" s="16"/>
      <c r="H206" s="16"/>
      <c r="I206" s="16"/>
    </row>
    <row r="207" spans="1:9" x14ac:dyDescent="0.3">
      <c r="A207" s="11"/>
      <c r="B207" s="16"/>
      <c r="C207" s="16"/>
      <c r="D207" s="16"/>
      <c r="E207" s="16"/>
      <c r="F207" s="16"/>
      <c r="G207" s="16"/>
      <c r="H207" s="16"/>
      <c r="I207" s="16"/>
    </row>
    <row r="208" spans="1:9" x14ac:dyDescent="0.3">
      <c r="A208" s="11"/>
      <c r="B208" s="16"/>
      <c r="C208" s="16"/>
      <c r="D208" s="16"/>
      <c r="E208" s="16"/>
      <c r="F208" s="16"/>
      <c r="G208" s="16"/>
      <c r="H208" s="16"/>
      <c r="I208" s="16"/>
    </row>
    <row r="209" spans="1:9" x14ac:dyDescent="0.3">
      <c r="A209" s="11"/>
      <c r="B209" s="16"/>
      <c r="C209" s="16"/>
      <c r="D209" s="16"/>
      <c r="E209" s="16"/>
      <c r="F209" s="16"/>
      <c r="G209" s="16"/>
      <c r="H209" s="16"/>
      <c r="I209" s="16"/>
    </row>
    <row r="210" spans="1:9" x14ac:dyDescent="0.3">
      <c r="A210" s="11"/>
      <c r="B210" s="16"/>
      <c r="C210" s="16"/>
      <c r="D210" s="16"/>
      <c r="E210" s="16"/>
      <c r="F210" s="16"/>
      <c r="G210" s="16"/>
      <c r="H210" s="16"/>
      <c r="I210" s="16"/>
    </row>
    <row r="211" spans="1:9" x14ac:dyDescent="0.3">
      <c r="A211" s="11"/>
      <c r="B211" s="16"/>
      <c r="C211" s="16"/>
      <c r="D211" s="16"/>
      <c r="E211" s="16"/>
      <c r="F211" s="16"/>
      <c r="G211" s="16"/>
      <c r="H211" s="16"/>
      <c r="I211" s="16"/>
    </row>
    <row r="212" spans="1:9" x14ac:dyDescent="0.3">
      <c r="A212" s="11"/>
      <c r="B212" s="16"/>
      <c r="C212" s="16"/>
      <c r="D212" s="16"/>
      <c r="E212" s="16"/>
      <c r="F212" s="16"/>
      <c r="G212" s="16"/>
      <c r="H212" s="16"/>
      <c r="I212" s="16"/>
    </row>
    <row r="213" spans="1:9" x14ac:dyDescent="0.3">
      <c r="A213" s="11"/>
      <c r="B213" s="16"/>
      <c r="C213" s="16"/>
      <c r="D213" s="16"/>
      <c r="E213" s="16"/>
      <c r="F213" s="16"/>
      <c r="G213" s="16"/>
      <c r="H213" s="16"/>
      <c r="I213" s="16"/>
    </row>
    <row r="214" spans="1:9" x14ac:dyDescent="0.3">
      <c r="A214" s="11"/>
      <c r="B214" s="16"/>
      <c r="C214" s="16"/>
      <c r="D214" s="16"/>
      <c r="E214" s="16"/>
      <c r="F214" s="16"/>
      <c r="G214" s="16"/>
      <c r="H214" s="16"/>
      <c r="I214" s="16"/>
    </row>
    <row r="215" spans="1:9" x14ac:dyDescent="0.3">
      <c r="A215" s="11"/>
      <c r="B215" s="16"/>
      <c r="C215" s="16"/>
      <c r="D215" s="16"/>
      <c r="E215" s="16"/>
      <c r="F215" s="16"/>
      <c r="G215" s="16"/>
      <c r="H215" s="16"/>
      <c r="I215" s="16"/>
    </row>
    <row r="216" spans="1:9" x14ac:dyDescent="0.3">
      <c r="A216" s="11"/>
      <c r="B216" s="16"/>
      <c r="C216" s="16"/>
      <c r="D216" s="16"/>
      <c r="E216" s="16"/>
      <c r="F216" s="16"/>
      <c r="G216" s="16"/>
      <c r="H216" s="16"/>
      <c r="I216" s="16"/>
    </row>
    <row r="217" spans="1:9" x14ac:dyDescent="0.3">
      <c r="A217" s="11"/>
      <c r="B217" s="16"/>
      <c r="C217" s="16"/>
      <c r="D217" s="16"/>
      <c r="E217" s="16"/>
      <c r="F217" s="16"/>
      <c r="G217" s="16"/>
      <c r="H217" s="16"/>
      <c r="I217" s="16"/>
    </row>
    <row r="218" spans="1:9" x14ac:dyDescent="0.3">
      <c r="A218" s="11"/>
      <c r="B218" s="16"/>
      <c r="C218" s="16"/>
      <c r="D218" s="16"/>
      <c r="E218" s="16"/>
      <c r="F218" s="16"/>
      <c r="G218" s="16"/>
      <c r="H218" s="16"/>
      <c r="I218" s="16"/>
    </row>
    <row r="219" spans="1:9" x14ac:dyDescent="0.3">
      <c r="A219" s="11"/>
      <c r="B219" s="16"/>
      <c r="C219" s="16"/>
      <c r="D219" s="16"/>
      <c r="E219" s="16"/>
      <c r="F219" s="16"/>
      <c r="G219" s="16"/>
      <c r="H219" s="16"/>
      <c r="I219" s="16"/>
    </row>
    <row r="220" spans="1:9" x14ac:dyDescent="0.3">
      <c r="A220" s="11"/>
      <c r="B220" s="16"/>
      <c r="C220" s="16"/>
      <c r="D220" s="16"/>
      <c r="E220" s="16"/>
      <c r="F220" s="16"/>
      <c r="G220" s="16"/>
      <c r="H220" s="16"/>
      <c r="I220" s="16"/>
    </row>
    <row r="221" spans="1:9" x14ac:dyDescent="0.3">
      <c r="A221" s="11"/>
      <c r="B221" s="16"/>
      <c r="C221" s="16"/>
      <c r="D221" s="16"/>
      <c r="E221" s="16"/>
      <c r="F221" s="16"/>
      <c r="G221" s="16"/>
      <c r="H221" s="16"/>
      <c r="I221" s="16"/>
    </row>
    <row r="222" spans="1:9" x14ac:dyDescent="0.3">
      <c r="A222" s="11"/>
      <c r="B222" s="16"/>
      <c r="C222" s="16"/>
      <c r="D222" s="16"/>
      <c r="E222" s="16"/>
      <c r="F222" s="16"/>
      <c r="G222" s="16"/>
      <c r="H222" s="16"/>
      <c r="I222" s="16"/>
    </row>
    <row r="223" spans="1:9" x14ac:dyDescent="0.3">
      <c r="A223" s="11"/>
      <c r="B223" s="16"/>
      <c r="C223" s="16"/>
      <c r="D223" s="16"/>
      <c r="E223" s="16"/>
      <c r="F223" s="16"/>
      <c r="G223" s="16"/>
      <c r="H223" s="16"/>
      <c r="I223" s="16"/>
    </row>
    <row r="224" spans="1:9" x14ac:dyDescent="0.3">
      <c r="A224" s="11"/>
      <c r="B224" s="16"/>
      <c r="C224" s="16"/>
      <c r="D224" s="16"/>
      <c r="E224" s="16"/>
      <c r="F224" s="16"/>
      <c r="G224" s="16"/>
      <c r="H224" s="16"/>
      <c r="I224" s="16"/>
    </row>
    <row r="225" spans="1:9" x14ac:dyDescent="0.3">
      <c r="A225" s="11"/>
      <c r="B225" s="16"/>
      <c r="C225" s="16"/>
      <c r="D225" s="16"/>
      <c r="E225" s="16"/>
      <c r="F225" s="16"/>
      <c r="G225" s="16"/>
      <c r="H225" s="16"/>
      <c r="I225" s="16"/>
    </row>
    <row r="226" spans="1:9" x14ac:dyDescent="0.3">
      <c r="A226" s="11"/>
      <c r="B226" s="16"/>
      <c r="C226" s="16"/>
      <c r="D226" s="16"/>
      <c r="E226" s="16"/>
      <c r="F226" s="16"/>
      <c r="G226" s="16"/>
      <c r="H226" s="16"/>
      <c r="I226" s="16"/>
    </row>
    <row r="227" spans="1:9" x14ac:dyDescent="0.3">
      <c r="A227" s="11"/>
      <c r="B227" s="16"/>
      <c r="C227" s="16"/>
      <c r="D227" s="16"/>
      <c r="E227" s="16"/>
      <c r="F227" s="16"/>
      <c r="G227" s="16"/>
      <c r="H227" s="16"/>
      <c r="I227" s="16"/>
    </row>
    <row r="228" spans="1:9" x14ac:dyDescent="0.3">
      <c r="A228" s="11"/>
      <c r="B228" s="16"/>
      <c r="C228" s="16"/>
      <c r="D228" s="16"/>
      <c r="E228" s="16"/>
      <c r="F228" s="16"/>
      <c r="G228" s="16"/>
      <c r="H228" s="16"/>
      <c r="I228" s="16"/>
    </row>
    <row r="229" spans="1:9" x14ac:dyDescent="0.3">
      <c r="A229" s="11"/>
      <c r="B229" s="16"/>
      <c r="C229" s="16"/>
      <c r="D229" s="16"/>
      <c r="E229" s="16"/>
      <c r="F229" s="16"/>
      <c r="G229" s="16"/>
      <c r="H229" s="16"/>
      <c r="I229" s="16"/>
    </row>
    <row r="230" spans="1:9" x14ac:dyDescent="0.3">
      <c r="A230" s="11"/>
      <c r="B230" s="16"/>
      <c r="C230" s="16"/>
      <c r="D230" s="16"/>
      <c r="E230" s="16"/>
      <c r="F230" s="16"/>
      <c r="G230" s="16"/>
      <c r="H230" s="16"/>
      <c r="I230" s="16"/>
    </row>
    <row r="231" spans="1:9" x14ac:dyDescent="0.3">
      <c r="A231" s="11"/>
      <c r="B231" s="16"/>
      <c r="C231" s="16"/>
      <c r="D231" s="16"/>
      <c r="E231" s="16"/>
      <c r="F231" s="16"/>
      <c r="G231" s="16"/>
      <c r="H231" s="16"/>
      <c r="I231" s="16"/>
    </row>
    <row r="232" spans="1:9" x14ac:dyDescent="0.3">
      <c r="A232" s="11"/>
      <c r="B232" s="16"/>
      <c r="C232" s="16"/>
      <c r="D232" s="16"/>
      <c r="E232" s="16"/>
      <c r="F232" s="16"/>
      <c r="G232" s="16"/>
      <c r="H232" s="16"/>
      <c r="I232" s="16"/>
    </row>
    <row r="233" spans="1:9" x14ac:dyDescent="0.3">
      <c r="A233" s="11"/>
      <c r="B233" s="16"/>
      <c r="C233" s="16"/>
      <c r="D233" s="16"/>
      <c r="E233" s="16"/>
      <c r="F233" s="16"/>
      <c r="G233" s="16"/>
      <c r="H233" s="16"/>
      <c r="I233" s="16"/>
    </row>
    <row r="234" spans="1:9" x14ac:dyDescent="0.3">
      <c r="A234" s="11"/>
      <c r="B234" s="16"/>
      <c r="C234" s="16"/>
      <c r="D234" s="16"/>
      <c r="E234" s="16"/>
      <c r="F234" s="16"/>
      <c r="G234" s="16"/>
      <c r="H234" s="16"/>
      <c r="I234" s="16"/>
    </row>
    <row r="235" spans="1:9" x14ac:dyDescent="0.3">
      <c r="A235" s="11"/>
      <c r="B235" s="16"/>
      <c r="C235" s="16"/>
      <c r="D235" s="16"/>
      <c r="E235" s="16"/>
      <c r="F235" s="16"/>
      <c r="G235" s="16"/>
      <c r="H235" s="16"/>
      <c r="I235" s="16"/>
    </row>
    <row r="236" spans="1:9" x14ac:dyDescent="0.3">
      <c r="A236" s="11"/>
      <c r="B236" s="16"/>
      <c r="C236" s="16"/>
      <c r="D236" s="16"/>
      <c r="E236" s="16"/>
      <c r="F236" s="16"/>
      <c r="G236" s="16"/>
      <c r="H236" s="16"/>
      <c r="I236" s="16"/>
    </row>
    <row r="237" spans="1:9" x14ac:dyDescent="0.3">
      <c r="A237" s="11"/>
      <c r="B237" s="16"/>
      <c r="C237" s="16"/>
      <c r="D237" s="16"/>
      <c r="E237" s="16"/>
      <c r="F237" s="16"/>
      <c r="G237" s="16"/>
      <c r="H237" s="16"/>
      <c r="I237" s="16"/>
    </row>
    <row r="238" spans="1:9" x14ac:dyDescent="0.3">
      <c r="A238" s="11"/>
      <c r="B238" s="16"/>
      <c r="C238" s="16"/>
      <c r="D238" s="16"/>
      <c r="E238" s="16"/>
      <c r="F238" s="16"/>
      <c r="G238" s="16"/>
      <c r="H238" s="16"/>
      <c r="I238" s="16"/>
    </row>
    <row r="239" spans="1:9" x14ac:dyDescent="0.3">
      <c r="A239" s="11"/>
      <c r="B239" s="16"/>
      <c r="C239" s="16"/>
      <c r="D239" s="16"/>
      <c r="E239" s="16"/>
      <c r="F239" s="16"/>
      <c r="G239" s="16"/>
      <c r="H239" s="16"/>
      <c r="I239" s="16"/>
    </row>
    <row r="240" spans="1:9" x14ac:dyDescent="0.3">
      <c r="A240" s="11"/>
      <c r="B240" s="16"/>
      <c r="C240" s="16"/>
      <c r="D240" s="16"/>
      <c r="E240" s="16"/>
      <c r="F240" s="16"/>
      <c r="G240" s="16"/>
      <c r="H240" s="16"/>
      <c r="I240" s="16"/>
    </row>
    <row r="241" spans="1:9" x14ac:dyDescent="0.3">
      <c r="A241" s="11"/>
      <c r="B241" s="16"/>
      <c r="C241" s="16"/>
      <c r="D241" s="16"/>
      <c r="E241" s="16"/>
      <c r="F241" s="16"/>
      <c r="G241" s="16"/>
      <c r="H241" s="16"/>
      <c r="I241" s="16"/>
    </row>
    <row r="242" spans="1:9" x14ac:dyDescent="0.3">
      <c r="A242" s="11"/>
      <c r="B242" s="16"/>
      <c r="C242" s="16"/>
      <c r="D242" s="16"/>
      <c r="E242" s="16"/>
      <c r="F242" s="16"/>
      <c r="G242" s="16"/>
      <c r="H242" s="16"/>
      <c r="I242" s="16"/>
    </row>
    <row r="243" spans="1:9" x14ac:dyDescent="0.3">
      <c r="A243" s="11"/>
      <c r="B243" s="16"/>
      <c r="C243" s="16"/>
      <c r="D243" s="16"/>
      <c r="E243" s="16"/>
      <c r="F243" s="16"/>
      <c r="G243" s="16"/>
      <c r="H243" s="16"/>
      <c r="I243" s="16"/>
    </row>
    <row r="244" spans="1:9" x14ac:dyDescent="0.3">
      <c r="A244" s="11"/>
      <c r="B244" s="16"/>
      <c r="C244" s="16"/>
      <c r="D244" s="16"/>
      <c r="E244" s="16"/>
      <c r="F244" s="16"/>
      <c r="G244" s="16"/>
      <c r="H244" s="16"/>
      <c r="I244" s="16"/>
    </row>
    <row r="245" spans="1:9" x14ac:dyDescent="0.3">
      <c r="A245" s="11"/>
      <c r="B245" s="16"/>
      <c r="C245" s="16"/>
      <c r="D245" s="16"/>
      <c r="E245" s="16"/>
      <c r="F245" s="16"/>
      <c r="G245" s="16"/>
      <c r="H245" s="16"/>
      <c r="I245" s="16"/>
    </row>
    <row r="246" spans="1:9" x14ac:dyDescent="0.3">
      <c r="A246" s="11"/>
      <c r="B246" s="16"/>
      <c r="C246" s="16"/>
      <c r="D246" s="16"/>
      <c r="E246" s="16"/>
      <c r="F246" s="16"/>
      <c r="G246" s="16"/>
      <c r="H246" s="16"/>
      <c r="I246" s="16"/>
    </row>
    <row r="247" spans="1:9" x14ac:dyDescent="0.3">
      <c r="A247" s="11"/>
      <c r="B247" s="16"/>
      <c r="C247" s="16"/>
      <c r="D247" s="16"/>
      <c r="E247" s="16"/>
      <c r="F247" s="16"/>
      <c r="G247" s="16"/>
      <c r="H247" s="16"/>
      <c r="I247" s="16"/>
    </row>
    <row r="248" spans="1:9" x14ac:dyDescent="0.3">
      <c r="A248" s="11"/>
      <c r="B248" s="16"/>
      <c r="C248" s="16"/>
      <c r="D248" s="16"/>
      <c r="E248" s="16"/>
      <c r="F248" s="16"/>
      <c r="G248" s="16"/>
      <c r="H248" s="16"/>
      <c r="I248" s="16"/>
    </row>
    <row r="249" spans="1:9" x14ac:dyDescent="0.3">
      <c r="A249" s="11"/>
      <c r="B249" s="16"/>
      <c r="C249" s="16"/>
      <c r="D249" s="16"/>
      <c r="E249" s="16"/>
      <c r="F249" s="16"/>
      <c r="G249" s="16"/>
      <c r="H249" s="16"/>
      <c r="I249" s="16"/>
    </row>
    <row r="250" spans="1:9" x14ac:dyDescent="0.3">
      <c r="A250" s="11"/>
      <c r="B250" s="16"/>
      <c r="C250" s="16"/>
      <c r="D250" s="16"/>
      <c r="E250" s="16"/>
      <c r="F250" s="16"/>
      <c r="G250" s="16"/>
      <c r="H250" s="16"/>
      <c r="I250" s="16"/>
    </row>
    <row r="251" spans="1:9" x14ac:dyDescent="0.3">
      <c r="A251" s="11"/>
      <c r="B251" s="16"/>
      <c r="C251" s="16"/>
      <c r="D251" s="16"/>
      <c r="E251" s="16"/>
      <c r="F251" s="16"/>
      <c r="G251" s="16"/>
      <c r="H251" s="16"/>
      <c r="I251" s="16"/>
    </row>
    <row r="252" spans="1:9" x14ac:dyDescent="0.3">
      <c r="A252" s="11"/>
      <c r="B252" s="16"/>
      <c r="C252" s="16"/>
      <c r="D252" s="16"/>
      <c r="E252" s="16"/>
      <c r="F252" s="16"/>
      <c r="G252" s="16"/>
      <c r="H252" s="16"/>
      <c r="I252" s="16"/>
    </row>
    <row r="253" spans="1:9" x14ac:dyDescent="0.3">
      <c r="A253" s="11"/>
      <c r="B253" s="16"/>
      <c r="C253" s="16"/>
      <c r="D253" s="16"/>
      <c r="E253" s="16"/>
      <c r="F253" s="16"/>
      <c r="G253" s="16"/>
      <c r="H253" s="16"/>
      <c r="I253" s="16"/>
    </row>
    <row r="254" spans="1:9" x14ac:dyDescent="0.3">
      <c r="A254" s="11"/>
      <c r="B254" s="16"/>
      <c r="C254" s="16"/>
      <c r="D254" s="16"/>
      <c r="E254" s="16"/>
      <c r="F254" s="16"/>
      <c r="G254" s="16"/>
      <c r="H254" s="16"/>
      <c r="I254" s="16"/>
    </row>
    <row r="255" spans="1:9" x14ac:dyDescent="0.3">
      <c r="A255" s="11"/>
      <c r="B255" s="16"/>
      <c r="C255" s="16"/>
      <c r="D255" s="16"/>
      <c r="E255" s="16"/>
      <c r="F255" s="16"/>
      <c r="G255" s="16"/>
      <c r="H255" s="16"/>
      <c r="I255" s="16"/>
    </row>
    <row r="256" spans="1:9" x14ac:dyDescent="0.3">
      <c r="A256" s="11"/>
      <c r="B256" s="16"/>
      <c r="C256" s="16"/>
      <c r="D256" s="16"/>
      <c r="E256" s="16"/>
      <c r="F256" s="16"/>
      <c r="G256" s="16"/>
      <c r="H256" s="16"/>
      <c r="I256" s="16"/>
    </row>
    <row r="257" spans="1:9" x14ac:dyDescent="0.3">
      <c r="A257" s="11"/>
      <c r="B257" s="16"/>
      <c r="C257" s="16"/>
      <c r="D257" s="16"/>
      <c r="E257" s="16"/>
      <c r="F257" s="16"/>
      <c r="G257" s="16"/>
      <c r="H257" s="16"/>
      <c r="I257" s="16"/>
    </row>
    <row r="258" spans="1:9" x14ac:dyDescent="0.3">
      <c r="A258" s="11"/>
      <c r="B258" s="16"/>
      <c r="C258" s="16"/>
      <c r="D258" s="16"/>
      <c r="E258" s="16"/>
      <c r="F258" s="16"/>
      <c r="G258" s="16"/>
      <c r="H258" s="16"/>
      <c r="I258" s="16"/>
    </row>
    <row r="259" spans="1:9" x14ac:dyDescent="0.3">
      <c r="A259" s="11"/>
      <c r="B259" s="16"/>
      <c r="C259" s="16"/>
      <c r="D259" s="16"/>
      <c r="E259" s="16"/>
      <c r="F259" s="16"/>
      <c r="G259" s="16"/>
      <c r="H259" s="16"/>
      <c r="I259" s="16"/>
    </row>
    <row r="260" spans="1:9" x14ac:dyDescent="0.3">
      <c r="A260" s="11"/>
      <c r="B260" s="16"/>
      <c r="C260" s="16"/>
      <c r="D260" s="16"/>
      <c r="E260" s="16"/>
      <c r="F260" s="16"/>
      <c r="G260" s="16"/>
      <c r="H260" s="16"/>
      <c r="I260" s="16"/>
    </row>
    <row r="261" spans="1:9" x14ac:dyDescent="0.3">
      <c r="A261" s="11"/>
      <c r="B261" s="16"/>
      <c r="C261" s="16"/>
      <c r="D261" s="16"/>
      <c r="E261" s="16"/>
      <c r="F261" s="16"/>
      <c r="G261" s="16"/>
      <c r="H261" s="16"/>
      <c r="I261" s="16"/>
    </row>
    <row r="262" spans="1:9" x14ac:dyDescent="0.3">
      <c r="A262" s="11"/>
      <c r="B262" s="16"/>
      <c r="C262" s="16"/>
      <c r="D262" s="16"/>
      <c r="E262" s="16"/>
      <c r="F262" s="16"/>
      <c r="G262" s="16"/>
      <c r="H262" s="16"/>
      <c r="I262" s="16"/>
    </row>
    <row r="263" spans="1:9" x14ac:dyDescent="0.3">
      <c r="A263" s="11"/>
      <c r="B263" s="16"/>
      <c r="C263" s="16"/>
      <c r="D263" s="16"/>
      <c r="E263" s="16"/>
      <c r="F263" s="16"/>
      <c r="G263" s="16"/>
      <c r="H263" s="16"/>
      <c r="I263" s="16"/>
    </row>
    <row r="264" spans="1:9" x14ac:dyDescent="0.3">
      <c r="A264" s="11"/>
      <c r="B264" s="16"/>
      <c r="C264" s="16"/>
      <c r="D264" s="16"/>
      <c r="E264" s="16"/>
      <c r="F264" s="16"/>
      <c r="G264" s="16"/>
      <c r="H264" s="16"/>
      <c r="I264" s="16"/>
    </row>
    <row r="265" spans="1:9" x14ac:dyDescent="0.3">
      <c r="A265" s="11"/>
      <c r="B265" s="16"/>
      <c r="C265" s="16"/>
      <c r="D265" s="16"/>
      <c r="E265" s="16"/>
      <c r="F265" s="16"/>
      <c r="G265" s="16"/>
      <c r="H265" s="16"/>
      <c r="I265" s="16"/>
    </row>
    <row r="266" spans="1:9" x14ac:dyDescent="0.3">
      <c r="A266" s="11"/>
      <c r="B266" s="16"/>
      <c r="C266" s="16"/>
      <c r="D266" s="16"/>
      <c r="E266" s="16"/>
      <c r="F266" s="16"/>
      <c r="G266" s="16"/>
      <c r="H266" s="16"/>
      <c r="I266" s="16"/>
    </row>
    <row r="267" spans="1:9" x14ac:dyDescent="0.3">
      <c r="A267" s="11"/>
      <c r="B267" s="16"/>
      <c r="C267" s="16"/>
      <c r="D267" s="16"/>
      <c r="E267" s="16"/>
      <c r="F267" s="16"/>
      <c r="G267" s="16"/>
      <c r="H267" s="16"/>
      <c r="I267" s="16"/>
    </row>
    <row r="268" spans="1:9" x14ac:dyDescent="0.3">
      <c r="A268" s="11"/>
      <c r="B268" s="16"/>
      <c r="C268" s="16"/>
      <c r="D268" s="16"/>
      <c r="E268" s="16"/>
      <c r="F268" s="16"/>
      <c r="G268" s="16"/>
      <c r="H268" s="16"/>
      <c r="I268" s="16"/>
    </row>
    <row r="269" spans="1:9" x14ac:dyDescent="0.3">
      <c r="A269" s="11"/>
      <c r="B269" s="16"/>
      <c r="C269" s="16"/>
      <c r="D269" s="16"/>
      <c r="E269" s="16"/>
      <c r="F269" s="16"/>
      <c r="G269" s="16"/>
      <c r="H269" s="16"/>
      <c r="I269" s="16"/>
    </row>
    <row r="270" spans="1:9" x14ac:dyDescent="0.3">
      <c r="A270" s="11"/>
      <c r="B270" s="16"/>
      <c r="C270" s="16"/>
      <c r="D270" s="16"/>
      <c r="E270" s="16"/>
      <c r="F270" s="16"/>
      <c r="G270" s="16"/>
      <c r="H270" s="16"/>
      <c r="I270" s="16"/>
    </row>
    <row r="271" spans="1:9" x14ac:dyDescent="0.3">
      <c r="A271" s="11"/>
      <c r="B271" s="16"/>
      <c r="C271" s="16"/>
      <c r="D271" s="16"/>
      <c r="E271" s="16"/>
      <c r="F271" s="16"/>
      <c r="G271" s="16"/>
      <c r="H271" s="16"/>
      <c r="I271" s="16"/>
    </row>
    <row r="272" spans="1:9" x14ac:dyDescent="0.3">
      <c r="A272" s="11"/>
      <c r="B272" s="16"/>
      <c r="C272" s="16"/>
      <c r="D272" s="16"/>
      <c r="E272" s="16"/>
      <c r="F272" s="16"/>
      <c r="G272" s="16"/>
      <c r="H272" s="16"/>
      <c r="I272" s="16"/>
    </row>
    <row r="273" spans="1:9" x14ac:dyDescent="0.3">
      <c r="A273" s="11"/>
      <c r="B273" s="16"/>
      <c r="C273" s="16"/>
      <c r="D273" s="16"/>
      <c r="E273" s="16"/>
      <c r="F273" s="16"/>
      <c r="G273" s="16"/>
      <c r="H273" s="16"/>
      <c r="I273" s="16"/>
    </row>
    <row r="274" spans="1:9" x14ac:dyDescent="0.3">
      <c r="A274" s="11"/>
      <c r="B274" s="16"/>
      <c r="C274" s="16"/>
      <c r="D274" s="16"/>
      <c r="E274" s="16"/>
      <c r="F274" s="16"/>
      <c r="G274" s="16"/>
      <c r="H274" s="16"/>
      <c r="I274" s="16"/>
    </row>
    <row r="275" spans="1:9" x14ac:dyDescent="0.3">
      <c r="A275" s="11"/>
      <c r="B275" s="16"/>
      <c r="C275" s="16"/>
      <c r="D275" s="16"/>
      <c r="E275" s="16"/>
      <c r="F275" s="16"/>
      <c r="G275" s="16"/>
      <c r="H275" s="16"/>
      <c r="I275" s="16"/>
    </row>
    <row r="276" spans="1:9" x14ac:dyDescent="0.3">
      <c r="A276" s="11"/>
      <c r="B276" s="16"/>
      <c r="C276" s="16"/>
      <c r="D276" s="16"/>
      <c r="E276" s="16"/>
      <c r="F276" s="16"/>
      <c r="G276" s="16"/>
      <c r="H276" s="16"/>
      <c r="I276" s="16"/>
    </row>
    <row r="277" spans="1:9" x14ac:dyDescent="0.3">
      <c r="A277" s="11"/>
      <c r="B277" s="16"/>
      <c r="C277" s="16"/>
      <c r="D277" s="16"/>
      <c r="E277" s="16"/>
      <c r="F277" s="16"/>
      <c r="G277" s="16"/>
      <c r="H277" s="16"/>
      <c r="I277" s="16"/>
    </row>
    <row r="278" spans="1:9" x14ac:dyDescent="0.3">
      <c r="A278" s="11"/>
      <c r="B278" s="16"/>
      <c r="C278" s="16"/>
      <c r="D278" s="16"/>
      <c r="E278" s="16"/>
      <c r="F278" s="16"/>
      <c r="G278" s="16"/>
      <c r="H278" s="16"/>
      <c r="I278" s="16"/>
    </row>
    <row r="279" spans="1:9" x14ac:dyDescent="0.3">
      <c r="A279" s="11"/>
      <c r="B279" s="16"/>
      <c r="C279" s="16"/>
      <c r="D279" s="16"/>
      <c r="E279" s="16"/>
      <c r="F279" s="16"/>
      <c r="G279" s="16"/>
      <c r="H279" s="16"/>
      <c r="I279" s="16"/>
    </row>
    <row r="280" spans="1:9" x14ac:dyDescent="0.3">
      <c r="A280" s="11"/>
      <c r="B280" s="16"/>
      <c r="C280" s="16"/>
      <c r="D280" s="16"/>
      <c r="E280" s="16"/>
      <c r="F280" s="16"/>
      <c r="G280" s="16"/>
      <c r="H280" s="16"/>
      <c r="I280" s="16"/>
    </row>
    <row r="281" spans="1:9" x14ac:dyDescent="0.3">
      <c r="A281" s="11"/>
      <c r="B281" s="16"/>
      <c r="C281" s="16"/>
      <c r="D281" s="16"/>
      <c r="E281" s="16"/>
      <c r="F281" s="16"/>
      <c r="G281" s="16"/>
      <c r="H281" s="16"/>
      <c r="I281" s="16"/>
    </row>
    <row r="282" spans="1:9" x14ac:dyDescent="0.3">
      <c r="A282" s="11"/>
      <c r="B282" s="16"/>
      <c r="C282" s="16"/>
      <c r="D282" s="16"/>
      <c r="E282" s="16"/>
      <c r="F282" s="16"/>
      <c r="G282" s="16"/>
      <c r="H282" s="16"/>
      <c r="I282" s="16"/>
    </row>
    <row r="283" spans="1:9" x14ac:dyDescent="0.3">
      <c r="A283" s="11"/>
      <c r="B283" s="16"/>
      <c r="C283" s="16"/>
      <c r="D283" s="16"/>
      <c r="E283" s="16"/>
      <c r="F283" s="16"/>
      <c r="G283" s="16"/>
      <c r="H283" s="16"/>
      <c r="I283" s="16"/>
    </row>
    <row r="284" spans="1:9" x14ac:dyDescent="0.3">
      <c r="A284" s="11"/>
      <c r="B284" s="16"/>
      <c r="C284" s="16"/>
      <c r="D284" s="16"/>
      <c r="E284" s="16"/>
      <c r="F284" s="16"/>
      <c r="G284" s="16"/>
      <c r="H284" s="16"/>
      <c r="I284" s="16"/>
    </row>
    <row r="285" spans="1:9" x14ac:dyDescent="0.3">
      <c r="A285" s="11"/>
      <c r="B285" s="16"/>
      <c r="C285" s="16"/>
      <c r="D285" s="16"/>
      <c r="E285" s="16"/>
      <c r="F285" s="16"/>
      <c r="G285" s="16"/>
      <c r="H285" s="16"/>
      <c r="I285" s="16"/>
    </row>
    <row r="286" spans="1:9" x14ac:dyDescent="0.3">
      <c r="A286" s="11"/>
      <c r="B286" s="16"/>
      <c r="C286" s="16"/>
      <c r="D286" s="16"/>
      <c r="E286" s="16"/>
      <c r="F286" s="16"/>
      <c r="G286" s="16"/>
      <c r="H286" s="16"/>
      <c r="I286" s="16"/>
    </row>
    <row r="287" spans="1:9" x14ac:dyDescent="0.3">
      <c r="A287" s="11"/>
      <c r="B287" s="16"/>
      <c r="C287" s="16"/>
      <c r="D287" s="16"/>
      <c r="E287" s="16"/>
      <c r="F287" s="16"/>
      <c r="G287" s="16"/>
      <c r="H287" s="16"/>
      <c r="I287" s="16"/>
    </row>
    <row r="288" spans="1:9" x14ac:dyDescent="0.3">
      <c r="A288" s="11"/>
      <c r="B288" s="16"/>
      <c r="C288" s="16"/>
      <c r="D288" s="16"/>
      <c r="E288" s="16"/>
      <c r="F288" s="16"/>
      <c r="G288" s="16"/>
      <c r="H288" s="16"/>
      <c r="I288" s="16"/>
    </row>
    <row r="289" spans="1:9" x14ac:dyDescent="0.3">
      <c r="A289" s="11"/>
      <c r="B289" s="16"/>
      <c r="C289" s="16"/>
      <c r="D289" s="16"/>
      <c r="E289" s="16"/>
      <c r="F289" s="16"/>
      <c r="G289" s="16"/>
      <c r="H289" s="16"/>
      <c r="I289" s="16"/>
    </row>
    <row r="290" spans="1:9" x14ac:dyDescent="0.3">
      <c r="A290" s="11"/>
      <c r="B290" s="16"/>
      <c r="C290" s="16"/>
      <c r="D290" s="16"/>
      <c r="E290" s="16"/>
      <c r="F290" s="16"/>
      <c r="G290" s="16"/>
      <c r="H290" s="16"/>
      <c r="I290" s="16"/>
    </row>
    <row r="291" spans="1:9" x14ac:dyDescent="0.3">
      <c r="A291" s="11"/>
      <c r="B291" s="16"/>
      <c r="C291" s="16"/>
      <c r="D291" s="16"/>
      <c r="E291" s="16"/>
      <c r="F291" s="16"/>
      <c r="G291" s="16"/>
      <c r="H291" s="16"/>
      <c r="I291" s="16"/>
    </row>
    <row r="292" spans="1:9" x14ac:dyDescent="0.3">
      <c r="A292" s="11"/>
      <c r="B292" s="16"/>
      <c r="C292" s="16"/>
      <c r="D292" s="16"/>
      <c r="E292" s="16"/>
      <c r="F292" s="16"/>
      <c r="G292" s="16"/>
      <c r="H292" s="16"/>
      <c r="I292" s="16"/>
    </row>
    <row r="293" spans="1:9" x14ac:dyDescent="0.3">
      <c r="A293" s="11"/>
      <c r="B293" s="16"/>
      <c r="C293" s="16"/>
      <c r="D293" s="16"/>
      <c r="E293" s="16"/>
      <c r="F293" s="16"/>
      <c r="G293" s="16"/>
      <c r="H293" s="16"/>
      <c r="I293" s="16"/>
    </row>
    <row r="294" spans="1:9" x14ac:dyDescent="0.3">
      <c r="A294" s="11"/>
      <c r="B294" s="16"/>
      <c r="C294" s="16"/>
      <c r="D294" s="16"/>
      <c r="E294" s="16"/>
      <c r="F294" s="16"/>
      <c r="G294" s="16"/>
      <c r="H294" s="16"/>
      <c r="I294" s="16"/>
    </row>
    <row r="295" spans="1:9" x14ac:dyDescent="0.3">
      <c r="A295" s="11"/>
      <c r="B295" s="16"/>
      <c r="C295" s="16"/>
      <c r="D295" s="16"/>
      <c r="E295" s="16"/>
      <c r="F295" s="16"/>
      <c r="G295" s="16"/>
      <c r="H295" s="16"/>
      <c r="I295" s="16"/>
    </row>
    <row r="296" spans="1:9" x14ac:dyDescent="0.3">
      <c r="A296" s="11"/>
      <c r="B296" s="16"/>
      <c r="C296" s="16"/>
      <c r="D296" s="16"/>
      <c r="E296" s="16"/>
      <c r="F296" s="16"/>
      <c r="G296" s="16"/>
      <c r="H296" s="16"/>
      <c r="I296" s="16"/>
    </row>
    <row r="297" spans="1:9" x14ac:dyDescent="0.3">
      <c r="A297" s="11"/>
      <c r="B297" s="16"/>
      <c r="C297" s="16"/>
      <c r="D297" s="16"/>
      <c r="E297" s="16"/>
      <c r="F297" s="16"/>
      <c r="G297" s="16"/>
      <c r="H297" s="16"/>
      <c r="I297" s="16"/>
    </row>
    <row r="298" spans="1:9" x14ac:dyDescent="0.3">
      <c r="A298" s="11"/>
      <c r="B298" s="16"/>
      <c r="C298" s="16"/>
      <c r="D298" s="16"/>
      <c r="E298" s="16"/>
      <c r="F298" s="16"/>
      <c r="G298" s="16"/>
      <c r="H298" s="16"/>
      <c r="I298" s="16"/>
    </row>
    <row r="299" spans="1:9" x14ac:dyDescent="0.3">
      <c r="A299" s="11"/>
      <c r="B299" s="16"/>
      <c r="C299" s="16"/>
      <c r="D299" s="16"/>
      <c r="E299" s="16"/>
      <c r="F299" s="16"/>
      <c r="G299" s="16"/>
      <c r="H299" s="16"/>
      <c r="I299" s="16"/>
    </row>
    <row r="300" spans="1:9" x14ac:dyDescent="0.3">
      <c r="A300" s="11"/>
      <c r="B300" s="16"/>
      <c r="C300" s="16"/>
      <c r="D300" s="16"/>
      <c r="E300" s="16"/>
      <c r="F300" s="16"/>
      <c r="G300" s="16"/>
      <c r="H300" s="16"/>
      <c r="I300" s="16"/>
    </row>
    <row r="301" spans="1:9" x14ac:dyDescent="0.3">
      <c r="A301" s="11"/>
      <c r="B301" s="16"/>
      <c r="C301" s="16"/>
      <c r="D301" s="16"/>
      <c r="E301" s="16"/>
      <c r="F301" s="16"/>
      <c r="G301" s="16"/>
      <c r="H301" s="16"/>
      <c r="I301" s="16"/>
    </row>
    <row r="302" spans="1:9" x14ac:dyDescent="0.3">
      <c r="A302" s="11"/>
      <c r="B302" s="16"/>
      <c r="C302" s="16"/>
      <c r="D302" s="16"/>
      <c r="E302" s="16"/>
      <c r="F302" s="16"/>
      <c r="G302" s="16"/>
      <c r="H302" s="16"/>
      <c r="I302" s="16"/>
    </row>
    <row r="303" spans="1:9" x14ac:dyDescent="0.3">
      <c r="A303" s="11"/>
      <c r="B303" s="16"/>
      <c r="C303" s="16"/>
      <c r="D303" s="16"/>
      <c r="E303" s="16"/>
      <c r="F303" s="16"/>
      <c r="G303" s="16"/>
      <c r="H303" s="16"/>
      <c r="I303" s="16"/>
    </row>
    <row r="304" spans="1:9" x14ac:dyDescent="0.3">
      <c r="A304" s="11"/>
      <c r="B304" s="16"/>
      <c r="C304" s="16"/>
      <c r="D304" s="16"/>
      <c r="E304" s="16"/>
      <c r="F304" s="16"/>
      <c r="G304" s="16"/>
      <c r="H304" s="16"/>
      <c r="I304" s="16"/>
    </row>
    <row r="305" spans="1:9" x14ac:dyDescent="0.3">
      <c r="A305" s="11"/>
      <c r="B305" s="16"/>
      <c r="C305" s="16"/>
      <c r="D305" s="16"/>
      <c r="E305" s="16"/>
      <c r="F305" s="16"/>
      <c r="G305" s="16"/>
      <c r="H305" s="16"/>
      <c r="I305" s="16"/>
    </row>
    <row r="306" spans="1:9" x14ac:dyDescent="0.3">
      <c r="A306" s="11"/>
      <c r="B306" s="16"/>
      <c r="C306" s="16"/>
      <c r="D306" s="16"/>
      <c r="E306" s="16"/>
      <c r="F306" s="16"/>
      <c r="G306" s="16"/>
      <c r="H306" s="16"/>
      <c r="I306" s="16"/>
    </row>
    <row r="307" spans="1:9" x14ac:dyDescent="0.3">
      <c r="A307" s="11"/>
      <c r="B307" s="16"/>
      <c r="C307" s="16"/>
      <c r="D307" s="16"/>
      <c r="E307" s="16"/>
      <c r="F307" s="16"/>
      <c r="G307" s="16"/>
      <c r="H307" s="16"/>
      <c r="I307" s="16"/>
    </row>
    <row r="308" spans="1:9" x14ac:dyDescent="0.3">
      <c r="A308" s="11"/>
      <c r="B308" s="16"/>
      <c r="C308" s="16"/>
      <c r="D308" s="16"/>
      <c r="E308" s="16"/>
      <c r="F308" s="16"/>
      <c r="G308" s="16"/>
      <c r="H308" s="16"/>
      <c r="I308" s="16"/>
    </row>
    <row r="309" spans="1:9" x14ac:dyDescent="0.3">
      <c r="A309" s="11"/>
      <c r="B309" s="16"/>
      <c r="C309" s="16"/>
      <c r="D309" s="16"/>
      <c r="E309" s="16"/>
      <c r="F309" s="16"/>
      <c r="G309" s="16"/>
      <c r="H309" s="16"/>
      <c r="I309" s="16"/>
    </row>
    <row r="310" spans="1:9" x14ac:dyDescent="0.3">
      <c r="A310" s="11"/>
      <c r="B310" s="16"/>
      <c r="C310" s="16"/>
      <c r="D310" s="16"/>
      <c r="E310" s="16"/>
      <c r="F310" s="16"/>
      <c r="G310" s="16"/>
      <c r="H310" s="16"/>
      <c r="I310" s="16"/>
    </row>
    <row r="311" spans="1:9" x14ac:dyDescent="0.3">
      <c r="A311" s="11"/>
      <c r="B311" s="16"/>
      <c r="C311" s="16"/>
      <c r="D311" s="16"/>
      <c r="E311" s="16"/>
      <c r="F311" s="16"/>
      <c r="G311" s="16"/>
      <c r="H311" s="16"/>
      <c r="I311" s="16"/>
    </row>
    <row r="312" spans="1:9" x14ac:dyDescent="0.3">
      <c r="A312" s="11"/>
      <c r="B312" s="16"/>
      <c r="C312" s="16"/>
      <c r="D312" s="16"/>
      <c r="E312" s="16"/>
      <c r="F312" s="16"/>
      <c r="G312" s="16"/>
      <c r="H312" s="16"/>
      <c r="I312" s="16"/>
    </row>
    <row r="313" spans="1:9" x14ac:dyDescent="0.3">
      <c r="A313" s="11"/>
      <c r="B313" s="16"/>
      <c r="C313" s="16"/>
      <c r="D313" s="16"/>
      <c r="E313" s="16"/>
      <c r="F313" s="16"/>
      <c r="G313" s="16"/>
      <c r="H313" s="16"/>
      <c r="I313" s="16"/>
    </row>
    <row r="314" spans="1:9" x14ac:dyDescent="0.3">
      <c r="A314" s="11"/>
      <c r="B314" s="16"/>
      <c r="C314" s="16"/>
      <c r="D314" s="16"/>
      <c r="E314" s="16"/>
      <c r="F314" s="16"/>
      <c r="G314" s="16"/>
      <c r="H314" s="16"/>
      <c r="I314" s="16"/>
    </row>
    <row r="315" spans="1:9" x14ac:dyDescent="0.3">
      <c r="A315" s="11"/>
      <c r="B315" s="16"/>
      <c r="C315" s="16"/>
      <c r="D315" s="16"/>
      <c r="E315" s="16"/>
      <c r="F315" s="16"/>
      <c r="G315" s="16"/>
      <c r="H315" s="16"/>
      <c r="I315" s="16"/>
    </row>
    <row r="316" spans="1:9" x14ac:dyDescent="0.3">
      <c r="A316" s="11"/>
      <c r="B316" s="16"/>
      <c r="C316" s="16"/>
      <c r="D316" s="16"/>
      <c r="E316" s="16"/>
      <c r="F316" s="16"/>
      <c r="G316" s="16"/>
      <c r="H316" s="16"/>
      <c r="I316" s="16"/>
    </row>
    <row r="317" spans="1:9" x14ac:dyDescent="0.3">
      <c r="A317" s="11"/>
      <c r="B317" s="16"/>
      <c r="C317" s="16"/>
      <c r="D317" s="16"/>
      <c r="E317" s="16"/>
      <c r="F317" s="16"/>
      <c r="G317" s="16"/>
      <c r="H317" s="16"/>
      <c r="I317" s="16"/>
    </row>
    <row r="318" spans="1:9" x14ac:dyDescent="0.3">
      <c r="A318" s="11"/>
      <c r="B318" s="16"/>
      <c r="C318" s="16"/>
      <c r="D318" s="16"/>
      <c r="E318" s="16"/>
      <c r="F318" s="16"/>
      <c r="G318" s="16"/>
      <c r="H318" s="16"/>
      <c r="I318" s="16"/>
    </row>
    <row r="319" spans="1:9" x14ac:dyDescent="0.3">
      <c r="A319" s="11"/>
      <c r="B319" s="16"/>
      <c r="C319" s="16"/>
      <c r="D319" s="16"/>
      <c r="E319" s="16"/>
      <c r="F319" s="16"/>
      <c r="G319" s="16"/>
      <c r="H319" s="16"/>
      <c r="I319" s="16"/>
    </row>
    <row r="320" spans="1:9" x14ac:dyDescent="0.3">
      <c r="A320" s="11"/>
      <c r="B320" s="16"/>
      <c r="C320" s="16"/>
      <c r="D320" s="16"/>
      <c r="E320" s="16"/>
      <c r="F320" s="16"/>
      <c r="G320" s="16"/>
      <c r="H320" s="16"/>
      <c r="I320" s="16"/>
    </row>
    <row r="321" spans="1:9" x14ac:dyDescent="0.3">
      <c r="A321" s="11"/>
      <c r="B321" s="16"/>
      <c r="C321" s="16"/>
      <c r="D321" s="16"/>
      <c r="E321" s="16"/>
      <c r="F321" s="16"/>
      <c r="G321" s="16"/>
      <c r="H321" s="16"/>
      <c r="I321" s="16"/>
    </row>
    <row r="322" spans="1:9" x14ac:dyDescent="0.3">
      <c r="A322" s="11"/>
      <c r="B322" s="16"/>
      <c r="C322" s="16"/>
      <c r="D322" s="16"/>
      <c r="E322" s="16"/>
      <c r="F322" s="16"/>
      <c r="G322" s="16"/>
      <c r="H322" s="16"/>
      <c r="I322" s="16"/>
    </row>
    <row r="323" spans="1:9" x14ac:dyDescent="0.3">
      <c r="A323" s="11"/>
      <c r="B323" s="16"/>
      <c r="C323" s="16"/>
      <c r="D323" s="16"/>
      <c r="E323" s="16"/>
      <c r="F323" s="16"/>
      <c r="G323" s="16"/>
      <c r="H323" s="16"/>
      <c r="I323" s="16"/>
    </row>
    <row r="324" spans="1:9" x14ac:dyDescent="0.3">
      <c r="A324" s="11"/>
      <c r="B324" s="16"/>
      <c r="C324" s="16"/>
      <c r="D324" s="16"/>
      <c r="E324" s="16"/>
      <c r="F324" s="16"/>
      <c r="G324" s="16"/>
      <c r="H324" s="16"/>
      <c r="I324" s="16"/>
    </row>
    <row r="325" spans="1:9" x14ac:dyDescent="0.3">
      <c r="A325" s="11"/>
      <c r="B325" s="16"/>
      <c r="C325" s="16"/>
      <c r="D325" s="16"/>
      <c r="E325" s="16"/>
      <c r="F325" s="16"/>
      <c r="G325" s="16"/>
      <c r="H325" s="16"/>
      <c r="I325" s="16"/>
    </row>
    <row r="326" spans="1:9" x14ac:dyDescent="0.3">
      <c r="A326" s="11"/>
      <c r="B326" s="16"/>
      <c r="C326" s="16"/>
      <c r="D326" s="16"/>
      <c r="E326" s="16"/>
      <c r="F326" s="16"/>
      <c r="G326" s="16"/>
      <c r="H326" s="16"/>
      <c r="I326" s="16"/>
    </row>
    <row r="327" spans="1:9" x14ac:dyDescent="0.3">
      <c r="A327" s="11"/>
      <c r="B327" s="16"/>
      <c r="C327" s="16"/>
      <c r="D327" s="16"/>
      <c r="E327" s="16"/>
      <c r="F327" s="16"/>
      <c r="G327" s="16"/>
      <c r="H327" s="16"/>
      <c r="I327" s="16"/>
    </row>
    <row r="328" spans="1:9" x14ac:dyDescent="0.3">
      <c r="A328" s="11"/>
      <c r="B328" s="16"/>
      <c r="C328" s="16"/>
      <c r="D328" s="16"/>
      <c r="E328" s="16"/>
      <c r="F328" s="16"/>
      <c r="G328" s="16"/>
      <c r="H328" s="16"/>
      <c r="I328" s="16"/>
    </row>
    <row r="329" spans="1:9" x14ac:dyDescent="0.3">
      <c r="A329" s="11"/>
      <c r="B329" s="16"/>
      <c r="C329" s="16"/>
      <c r="D329" s="16"/>
      <c r="E329" s="16"/>
      <c r="F329" s="16"/>
      <c r="G329" s="16"/>
      <c r="H329" s="16"/>
      <c r="I329" s="16"/>
    </row>
    <row r="330" spans="1:9" x14ac:dyDescent="0.3">
      <c r="A330" s="11"/>
      <c r="B330" s="16"/>
      <c r="C330" s="16"/>
      <c r="D330" s="16"/>
      <c r="E330" s="16"/>
      <c r="F330" s="16"/>
      <c r="G330" s="16"/>
      <c r="H330" s="16"/>
      <c r="I330" s="16"/>
    </row>
    <row r="331" spans="1:9" x14ac:dyDescent="0.3">
      <c r="A331" s="11"/>
      <c r="B331" s="16"/>
      <c r="C331" s="16"/>
      <c r="D331" s="16"/>
      <c r="E331" s="16"/>
      <c r="F331" s="16"/>
      <c r="G331" s="16"/>
      <c r="H331" s="16"/>
      <c r="I331" s="16"/>
    </row>
    <row r="332" spans="1:9" x14ac:dyDescent="0.3">
      <c r="A332" s="11"/>
      <c r="B332" s="16"/>
      <c r="C332" s="16"/>
      <c r="D332" s="16"/>
      <c r="E332" s="16"/>
      <c r="F332" s="16"/>
      <c r="G332" s="16"/>
      <c r="H332" s="16"/>
      <c r="I332" s="16"/>
    </row>
    <row r="333" spans="1:9" x14ac:dyDescent="0.3">
      <c r="A333" s="11"/>
      <c r="B333" s="16"/>
      <c r="C333" s="16"/>
      <c r="D333" s="16"/>
      <c r="E333" s="16"/>
      <c r="F333" s="16"/>
      <c r="G333" s="16"/>
      <c r="H333" s="16"/>
      <c r="I333" s="16"/>
    </row>
    <row r="334" spans="1:9" x14ac:dyDescent="0.3">
      <c r="A334" s="11"/>
      <c r="B334" s="16"/>
      <c r="C334" s="16"/>
      <c r="D334" s="16"/>
      <c r="E334" s="16"/>
      <c r="F334" s="16"/>
      <c r="G334" s="16"/>
      <c r="H334" s="16"/>
      <c r="I334" s="16"/>
    </row>
    <row r="335" spans="1:9" x14ac:dyDescent="0.3">
      <c r="A335" s="11"/>
      <c r="B335" s="16"/>
      <c r="C335" s="16"/>
      <c r="D335" s="16"/>
      <c r="E335" s="16"/>
      <c r="F335" s="16"/>
      <c r="G335" s="16"/>
      <c r="H335" s="16"/>
      <c r="I335" s="16"/>
    </row>
    <row r="336" spans="1:9" x14ac:dyDescent="0.3">
      <c r="A336" s="11"/>
      <c r="B336" s="16"/>
      <c r="C336" s="16"/>
      <c r="D336" s="16"/>
      <c r="E336" s="16"/>
      <c r="F336" s="16"/>
      <c r="G336" s="16"/>
      <c r="H336" s="16"/>
      <c r="I336" s="16"/>
    </row>
    <row r="337" spans="1:9" x14ac:dyDescent="0.3">
      <c r="A337" s="11"/>
      <c r="B337" s="16"/>
      <c r="C337" s="16"/>
      <c r="D337" s="16"/>
      <c r="E337" s="16"/>
      <c r="F337" s="16"/>
      <c r="G337" s="16"/>
      <c r="H337" s="16"/>
      <c r="I337" s="16"/>
    </row>
    <row r="338" spans="1:9" x14ac:dyDescent="0.3">
      <c r="A338" s="11"/>
      <c r="B338" s="16"/>
      <c r="C338" s="16"/>
      <c r="D338" s="16"/>
      <c r="E338" s="16"/>
      <c r="F338" s="16"/>
      <c r="G338" s="16"/>
      <c r="H338" s="16"/>
      <c r="I338" s="16"/>
    </row>
    <row r="339" spans="1:9" x14ac:dyDescent="0.3">
      <c r="A339" s="11"/>
      <c r="B339" s="16"/>
      <c r="C339" s="16"/>
      <c r="D339" s="16"/>
      <c r="E339" s="16"/>
      <c r="F339" s="16"/>
      <c r="G339" s="16"/>
      <c r="H339" s="16"/>
      <c r="I339" s="16"/>
    </row>
    <row r="340" spans="1:9" x14ac:dyDescent="0.3">
      <c r="A340" s="11"/>
      <c r="B340" s="16"/>
      <c r="C340" s="16"/>
      <c r="D340" s="16"/>
      <c r="E340" s="16"/>
      <c r="F340" s="16"/>
      <c r="G340" s="16"/>
      <c r="H340" s="16"/>
      <c r="I340" s="16"/>
    </row>
    <row r="341" spans="1:9" x14ac:dyDescent="0.3">
      <c r="A341" s="11"/>
      <c r="B341" s="16"/>
      <c r="C341" s="16"/>
      <c r="D341" s="16"/>
      <c r="E341" s="16"/>
      <c r="F341" s="16"/>
      <c r="G341" s="16"/>
      <c r="H341" s="16"/>
      <c r="I341" s="16"/>
    </row>
    <row r="342" spans="1:9" x14ac:dyDescent="0.3">
      <c r="A342" s="11"/>
      <c r="B342" s="16"/>
      <c r="C342" s="16"/>
      <c r="D342" s="16"/>
      <c r="E342" s="16"/>
      <c r="F342" s="16"/>
      <c r="G342" s="16"/>
      <c r="H342" s="16"/>
      <c r="I342" s="16"/>
    </row>
    <row r="343" spans="1:9" x14ac:dyDescent="0.3">
      <c r="A343" s="11"/>
      <c r="B343" s="16"/>
      <c r="C343" s="16"/>
      <c r="D343" s="16"/>
      <c r="E343" s="16"/>
      <c r="F343" s="16"/>
      <c r="G343" s="16"/>
      <c r="H343" s="16"/>
      <c r="I343" s="16"/>
    </row>
    <row r="344" spans="1:9" x14ac:dyDescent="0.3">
      <c r="A344" s="11"/>
      <c r="B344" s="16"/>
      <c r="C344" s="16"/>
      <c r="D344" s="16"/>
      <c r="E344" s="16"/>
      <c r="F344" s="16"/>
      <c r="G344" s="16"/>
      <c r="H344" s="16"/>
      <c r="I344" s="16"/>
    </row>
    <row r="345" spans="1:9" x14ac:dyDescent="0.3">
      <c r="A345" s="11"/>
      <c r="B345" s="16"/>
      <c r="C345" s="16"/>
      <c r="D345" s="16"/>
      <c r="E345" s="16"/>
      <c r="F345" s="16"/>
      <c r="G345" s="16"/>
      <c r="H345" s="16"/>
      <c r="I345" s="16"/>
    </row>
    <row r="346" spans="1:9" x14ac:dyDescent="0.3">
      <c r="A346" s="11"/>
      <c r="B346" s="16"/>
      <c r="C346" s="16"/>
      <c r="D346" s="16"/>
      <c r="E346" s="16"/>
      <c r="F346" s="16"/>
      <c r="G346" s="16"/>
      <c r="H346" s="16"/>
      <c r="I346" s="16"/>
    </row>
    <row r="347" spans="1:9" x14ac:dyDescent="0.3">
      <c r="A347" s="11"/>
      <c r="B347" s="16"/>
      <c r="C347" s="16"/>
      <c r="D347" s="16"/>
      <c r="E347" s="16"/>
      <c r="F347" s="16"/>
      <c r="G347" s="16"/>
      <c r="H347" s="16"/>
      <c r="I347" s="16"/>
    </row>
    <row r="348" spans="1:9" x14ac:dyDescent="0.3">
      <c r="A348" s="11"/>
      <c r="B348" s="16"/>
      <c r="C348" s="16"/>
      <c r="D348" s="16"/>
      <c r="E348" s="16"/>
      <c r="F348" s="16"/>
      <c r="G348" s="16"/>
      <c r="H348" s="16"/>
      <c r="I348" s="16"/>
    </row>
    <row r="349" spans="1:9" x14ac:dyDescent="0.3">
      <c r="A349" s="11"/>
      <c r="B349" s="16"/>
      <c r="C349" s="16"/>
      <c r="D349" s="16"/>
      <c r="E349" s="16"/>
      <c r="F349" s="16"/>
      <c r="G349" s="16"/>
      <c r="H349" s="16"/>
      <c r="I349" s="16"/>
    </row>
    <row r="350" spans="1:9" x14ac:dyDescent="0.3">
      <c r="A350" s="11"/>
      <c r="B350" s="16"/>
      <c r="C350" s="16"/>
      <c r="D350" s="16"/>
      <c r="E350" s="16"/>
      <c r="F350" s="16"/>
      <c r="G350" s="16"/>
      <c r="H350" s="16"/>
      <c r="I350" s="16"/>
    </row>
    <row r="351" spans="1:9" x14ac:dyDescent="0.3">
      <c r="A351" s="11"/>
      <c r="B351" s="16"/>
      <c r="C351" s="16"/>
      <c r="D351" s="16"/>
      <c r="E351" s="16"/>
      <c r="F351" s="16"/>
      <c r="G351" s="16"/>
      <c r="H351" s="16"/>
      <c r="I351" s="16"/>
    </row>
    <row r="352" spans="1:9" x14ac:dyDescent="0.3">
      <c r="A352" s="11"/>
      <c r="B352" s="16"/>
      <c r="C352" s="16"/>
      <c r="D352" s="16"/>
      <c r="E352" s="16"/>
      <c r="F352" s="16"/>
      <c r="G352" s="16"/>
      <c r="H352" s="16"/>
      <c r="I352" s="16"/>
    </row>
    <row r="353" spans="1:9" x14ac:dyDescent="0.3">
      <c r="A353" s="11"/>
      <c r="B353" s="16"/>
      <c r="C353" s="16"/>
      <c r="D353" s="16"/>
      <c r="E353" s="16"/>
      <c r="F353" s="16"/>
      <c r="G353" s="16"/>
      <c r="H353" s="16"/>
      <c r="I353" s="16"/>
    </row>
    <row r="354" spans="1:9" x14ac:dyDescent="0.3">
      <c r="A354" s="11"/>
      <c r="B354" s="16"/>
      <c r="C354" s="16"/>
      <c r="D354" s="16"/>
      <c r="E354" s="16"/>
      <c r="F354" s="16"/>
      <c r="G354" s="16"/>
      <c r="H354" s="16"/>
      <c r="I354" s="16"/>
    </row>
    <row r="355" spans="1:9" x14ac:dyDescent="0.3">
      <c r="A355" s="11"/>
      <c r="B355" s="16"/>
      <c r="C355" s="16"/>
      <c r="D355" s="16"/>
      <c r="E355" s="16"/>
      <c r="F355" s="16"/>
      <c r="G355" s="16"/>
      <c r="H355" s="16"/>
      <c r="I355" s="16"/>
    </row>
    <row r="356" spans="1:9" x14ac:dyDescent="0.3">
      <c r="A356" s="11"/>
      <c r="B356" s="16"/>
      <c r="C356" s="16"/>
      <c r="D356" s="16"/>
      <c r="E356" s="16"/>
      <c r="F356" s="16"/>
      <c r="G356" s="16"/>
      <c r="H356" s="16"/>
      <c r="I356" s="16"/>
    </row>
    <row r="357" spans="1:9" x14ac:dyDescent="0.3">
      <c r="A357" s="11"/>
      <c r="B357" s="16"/>
      <c r="C357" s="16"/>
      <c r="D357" s="16"/>
      <c r="E357" s="16"/>
      <c r="F357" s="16"/>
      <c r="G357" s="16"/>
      <c r="H357" s="16"/>
      <c r="I357" s="16"/>
    </row>
    <row r="358" spans="1:9" x14ac:dyDescent="0.3">
      <c r="A358" s="11"/>
      <c r="B358" s="16"/>
      <c r="C358" s="16"/>
      <c r="D358" s="16"/>
      <c r="E358" s="16"/>
      <c r="F358" s="16"/>
      <c r="G358" s="16"/>
      <c r="H358" s="16"/>
      <c r="I358" s="16"/>
    </row>
    <row r="359" spans="1:9" x14ac:dyDescent="0.3">
      <c r="A359" s="11"/>
      <c r="B359" s="16"/>
      <c r="C359" s="16"/>
      <c r="D359" s="16"/>
      <c r="E359" s="16"/>
      <c r="F359" s="16"/>
      <c r="G359" s="16"/>
      <c r="H359" s="16"/>
      <c r="I359" s="16"/>
    </row>
    <row r="360" spans="1:9" x14ac:dyDescent="0.3">
      <c r="A360" s="11"/>
      <c r="B360" s="16"/>
      <c r="C360" s="16"/>
      <c r="D360" s="16"/>
      <c r="E360" s="16"/>
      <c r="F360" s="16"/>
      <c r="G360" s="16"/>
      <c r="H360" s="16"/>
      <c r="I360" s="16"/>
    </row>
    <row r="361" spans="1:9" x14ac:dyDescent="0.3">
      <c r="A361" s="11"/>
      <c r="B361" s="16"/>
      <c r="C361" s="16"/>
      <c r="D361" s="16"/>
      <c r="E361" s="16"/>
      <c r="F361" s="16"/>
      <c r="G361" s="16"/>
      <c r="H361" s="16"/>
      <c r="I361" s="16"/>
    </row>
    <row r="362" spans="1:9" x14ac:dyDescent="0.3">
      <c r="A362" s="11"/>
      <c r="B362" s="16"/>
      <c r="C362" s="16"/>
      <c r="D362" s="16"/>
      <c r="E362" s="16"/>
      <c r="F362" s="16"/>
      <c r="G362" s="16"/>
      <c r="H362" s="16"/>
      <c r="I362" s="16"/>
    </row>
    <row r="363" spans="1:9" x14ac:dyDescent="0.3">
      <c r="A363" s="11"/>
      <c r="B363" s="16"/>
      <c r="C363" s="16"/>
      <c r="D363" s="16"/>
      <c r="E363" s="16"/>
      <c r="F363" s="16"/>
      <c r="G363" s="16"/>
      <c r="H363" s="16"/>
      <c r="I363" s="16"/>
    </row>
    <row r="364" spans="1:9" x14ac:dyDescent="0.3">
      <c r="A364" s="11"/>
      <c r="B364" s="16"/>
      <c r="C364" s="16"/>
      <c r="D364" s="16"/>
      <c r="E364" s="16"/>
      <c r="F364" s="16"/>
      <c r="G364" s="16"/>
      <c r="H364" s="16"/>
      <c r="I364" s="16"/>
    </row>
    <row r="365" spans="1:9" x14ac:dyDescent="0.3">
      <c r="A365" s="11"/>
      <c r="B365" s="16"/>
      <c r="C365" s="16"/>
      <c r="D365" s="16"/>
      <c r="E365" s="16"/>
      <c r="F365" s="16"/>
      <c r="G365" s="16"/>
      <c r="H365" s="16"/>
      <c r="I365" s="16"/>
    </row>
    <row r="366" spans="1:9" x14ac:dyDescent="0.3">
      <c r="A366" s="11"/>
      <c r="B366" s="16"/>
      <c r="C366" s="16"/>
      <c r="D366" s="16"/>
      <c r="E366" s="16"/>
      <c r="F366" s="16"/>
      <c r="G366" s="16"/>
      <c r="H366" s="16"/>
      <c r="I366" s="16"/>
    </row>
    <row r="367" spans="1:9" x14ac:dyDescent="0.3">
      <c r="A367" s="11"/>
      <c r="B367" s="16"/>
      <c r="C367" s="16"/>
      <c r="D367" s="16"/>
      <c r="E367" s="16"/>
      <c r="F367" s="16"/>
      <c r="G367" s="16"/>
      <c r="H367" s="16"/>
      <c r="I367" s="16"/>
    </row>
    <row r="368" spans="1:9" x14ac:dyDescent="0.3">
      <c r="A368" s="11"/>
      <c r="B368" s="16"/>
      <c r="C368" s="16"/>
      <c r="D368" s="16"/>
      <c r="E368" s="16"/>
      <c r="F368" s="16"/>
      <c r="G368" s="16"/>
      <c r="H368" s="16"/>
      <c r="I368" s="16"/>
    </row>
    <row r="369" spans="1:9" x14ac:dyDescent="0.3">
      <c r="A369" s="11"/>
      <c r="B369" s="16"/>
      <c r="C369" s="16"/>
      <c r="D369" s="16"/>
      <c r="E369" s="16"/>
      <c r="F369" s="16"/>
      <c r="G369" s="16"/>
      <c r="H369" s="16"/>
      <c r="I369" s="16"/>
    </row>
    <row r="370" spans="1:9" x14ac:dyDescent="0.3">
      <c r="A370" s="11"/>
      <c r="B370" s="16"/>
      <c r="C370" s="16"/>
      <c r="D370" s="16"/>
      <c r="E370" s="16"/>
      <c r="F370" s="16"/>
      <c r="G370" s="16"/>
      <c r="H370" s="16"/>
      <c r="I370" s="16"/>
    </row>
    <row r="371" spans="1:9" x14ac:dyDescent="0.3">
      <c r="A371" s="11"/>
      <c r="B371" s="16"/>
      <c r="C371" s="16"/>
      <c r="D371" s="16"/>
      <c r="E371" s="16"/>
      <c r="F371" s="16"/>
      <c r="G371" s="16"/>
      <c r="H371" s="16"/>
      <c r="I371" s="16"/>
    </row>
    <row r="372" spans="1:9" x14ac:dyDescent="0.3">
      <c r="A372" s="11"/>
      <c r="B372" s="16"/>
      <c r="C372" s="16"/>
      <c r="D372" s="16"/>
      <c r="E372" s="16"/>
      <c r="F372" s="16"/>
      <c r="G372" s="16"/>
      <c r="H372" s="16"/>
      <c r="I372" s="16"/>
    </row>
    <row r="373" spans="1:9" x14ac:dyDescent="0.3">
      <c r="A373" s="11"/>
      <c r="B373" s="16"/>
      <c r="C373" s="16"/>
      <c r="D373" s="16"/>
      <c r="E373" s="16"/>
      <c r="F373" s="16"/>
      <c r="G373" s="16"/>
      <c r="H373" s="16"/>
      <c r="I373" s="16"/>
    </row>
    <row r="374" spans="1:9" x14ac:dyDescent="0.3">
      <c r="A374" s="11"/>
      <c r="B374" s="16"/>
      <c r="C374" s="16"/>
      <c r="D374" s="16"/>
      <c r="E374" s="16"/>
      <c r="F374" s="16"/>
      <c r="G374" s="16"/>
      <c r="H374" s="16"/>
      <c r="I374" s="16"/>
    </row>
    <row r="375" spans="1:9" x14ac:dyDescent="0.3">
      <c r="A375" s="11"/>
      <c r="B375" s="16"/>
      <c r="C375" s="16"/>
      <c r="D375" s="16"/>
      <c r="E375" s="16"/>
      <c r="F375" s="16"/>
      <c r="G375" s="16"/>
      <c r="H375" s="16"/>
      <c r="I375" s="16"/>
    </row>
    <row r="376" spans="1:9" x14ac:dyDescent="0.3">
      <c r="A376" s="11"/>
      <c r="B376" s="16"/>
      <c r="C376" s="16"/>
      <c r="D376" s="16"/>
      <c r="E376" s="16"/>
      <c r="F376" s="16"/>
      <c r="G376" s="16"/>
      <c r="H376" s="16"/>
      <c r="I376" s="16"/>
    </row>
    <row r="377" spans="1:9" x14ac:dyDescent="0.3">
      <c r="A377" s="11"/>
      <c r="B377" s="16"/>
      <c r="C377" s="16"/>
      <c r="D377" s="16"/>
      <c r="E377" s="16"/>
      <c r="F377" s="16"/>
      <c r="G377" s="16"/>
      <c r="H377" s="16"/>
      <c r="I377" s="16"/>
    </row>
    <row r="378" spans="1:9" x14ac:dyDescent="0.3">
      <c r="A378" s="11"/>
      <c r="B378" s="16"/>
      <c r="C378" s="16"/>
      <c r="D378" s="16"/>
      <c r="E378" s="16"/>
      <c r="F378" s="16"/>
      <c r="G378" s="16"/>
      <c r="H378" s="16"/>
      <c r="I378" s="16"/>
    </row>
    <row r="379" spans="1:9" x14ac:dyDescent="0.3">
      <c r="A379" s="11"/>
      <c r="B379" s="16"/>
      <c r="C379" s="16"/>
      <c r="D379" s="16"/>
      <c r="E379" s="16"/>
      <c r="F379" s="16"/>
      <c r="G379" s="16"/>
      <c r="H379" s="16"/>
      <c r="I379" s="16"/>
    </row>
    <row r="380" spans="1:9" x14ac:dyDescent="0.3">
      <c r="A380" s="11"/>
      <c r="B380" s="16"/>
      <c r="C380" s="16"/>
      <c r="D380" s="16"/>
      <c r="E380" s="16"/>
      <c r="F380" s="16"/>
      <c r="G380" s="16"/>
      <c r="H380" s="16"/>
      <c r="I380" s="16"/>
    </row>
    <row r="381" spans="1:9" x14ac:dyDescent="0.3">
      <c r="A381" s="11"/>
      <c r="B381" s="16"/>
      <c r="C381" s="16"/>
      <c r="D381" s="16"/>
      <c r="E381" s="16"/>
      <c r="F381" s="16"/>
      <c r="G381" s="16"/>
      <c r="H381" s="16"/>
      <c r="I381" s="16"/>
    </row>
    <row r="382" spans="1:9" x14ac:dyDescent="0.3">
      <c r="A382" s="11"/>
      <c r="B382" s="16"/>
      <c r="C382" s="16"/>
      <c r="D382" s="16"/>
      <c r="E382" s="16"/>
      <c r="F382" s="16"/>
      <c r="G382" s="16"/>
      <c r="H382" s="16"/>
      <c r="I382" s="16"/>
    </row>
    <row r="383" spans="1:9" x14ac:dyDescent="0.3">
      <c r="A383" s="11"/>
      <c r="B383" s="16"/>
      <c r="C383" s="16"/>
      <c r="D383" s="16"/>
      <c r="E383" s="16"/>
      <c r="F383" s="16"/>
      <c r="G383" s="16"/>
      <c r="H383" s="16"/>
      <c r="I383" s="16"/>
    </row>
    <row r="384" spans="1:9" x14ac:dyDescent="0.3">
      <c r="A384" s="11"/>
      <c r="B384" s="16"/>
      <c r="C384" s="16"/>
      <c r="D384" s="16"/>
      <c r="E384" s="16"/>
      <c r="F384" s="16"/>
      <c r="G384" s="16"/>
      <c r="H384" s="16"/>
      <c r="I384" s="16"/>
    </row>
    <row r="385" spans="1:9" x14ac:dyDescent="0.3">
      <c r="A385" s="11"/>
      <c r="B385" s="16"/>
      <c r="C385" s="16"/>
      <c r="D385" s="16"/>
      <c r="E385" s="16"/>
      <c r="F385" s="16"/>
      <c r="G385" s="16"/>
      <c r="H385" s="16"/>
      <c r="I385" s="16"/>
    </row>
    <row r="386" spans="1:9" x14ac:dyDescent="0.3">
      <c r="A386" s="11"/>
      <c r="B386" s="16"/>
      <c r="C386" s="16"/>
      <c r="D386" s="16"/>
      <c r="E386" s="16"/>
      <c r="F386" s="16"/>
      <c r="G386" s="16"/>
      <c r="H386" s="16"/>
      <c r="I386" s="16"/>
    </row>
    <row r="387" spans="1:9" x14ac:dyDescent="0.3">
      <c r="A387" s="11"/>
      <c r="B387" s="16"/>
      <c r="C387" s="16"/>
      <c r="D387" s="16"/>
      <c r="E387" s="16"/>
      <c r="F387" s="16"/>
      <c r="G387" s="16"/>
      <c r="H387" s="16"/>
      <c r="I387" s="16"/>
    </row>
    <row r="388" spans="1:9" x14ac:dyDescent="0.3">
      <c r="A388" s="11"/>
      <c r="B388" s="16"/>
      <c r="C388" s="16"/>
      <c r="D388" s="16"/>
      <c r="E388" s="16"/>
      <c r="F388" s="16"/>
      <c r="G388" s="16"/>
      <c r="H388" s="16"/>
      <c r="I388" s="16"/>
    </row>
    <row r="389" spans="1:9" x14ac:dyDescent="0.3">
      <c r="A389" s="11"/>
      <c r="B389" s="16"/>
      <c r="C389" s="16"/>
      <c r="D389" s="16"/>
      <c r="E389" s="16"/>
      <c r="F389" s="16"/>
      <c r="G389" s="16"/>
      <c r="H389" s="16"/>
      <c r="I389" s="16"/>
    </row>
    <row r="390" spans="1:9" x14ac:dyDescent="0.3">
      <c r="A390" s="11"/>
      <c r="B390" s="16"/>
      <c r="C390" s="16"/>
      <c r="D390" s="16"/>
      <c r="E390" s="16"/>
      <c r="F390" s="16"/>
      <c r="G390" s="16"/>
      <c r="H390" s="16"/>
      <c r="I390" s="16"/>
    </row>
    <row r="391" spans="1:9" x14ac:dyDescent="0.3">
      <c r="A391" s="11"/>
      <c r="B391" s="16"/>
      <c r="C391" s="16"/>
      <c r="D391" s="16"/>
      <c r="E391" s="16"/>
      <c r="F391" s="16"/>
      <c r="G391" s="16"/>
      <c r="H391" s="16"/>
      <c r="I391" s="16"/>
    </row>
    <row r="392" spans="1:9" x14ac:dyDescent="0.3">
      <c r="A392" s="11"/>
      <c r="B392" s="16"/>
      <c r="C392" s="16"/>
      <c r="D392" s="16"/>
      <c r="E392" s="16"/>
      <c r="F392" s="16"/>
      <c r="G392" s="16"/>
      <c r="H392" s="16"/>
      <c r="I392" s="16"/>
    </row>
    <row r="393" spans="1:9" x14ac:dyDescent="0.3">
      <c r="A393" s="11"/>
      <c r="B393" s="16"/>
      <c r="C393" s="16"/>
      <c r="D393" s="16"/>
      <c r="E393" s="16"/>
      <c r="F393" s="16"/>
      <c r="G393" s="16"/>
      <c r="H393" s="16"/>
      <c r="I393" s="16"/>
    </row>
    <row r="394" spans="1:9" x14ac:dyDescent="0.3">
      <c r="A394" s="11"/>
      <c r="B394" s="16"/>
      <c r="C394" s="16"/>
      <c r="D394" s="16"/>
      <c r="E394" s="16"/>
      <c r="F394" s="16"/>
      <c r="G394" s="16"/>
      <c r="H394" s="16"/>
      <c r="I394" s="16"/>
    </row>
    <row r="395" spans="1:9" x14ac:dyDescent="0.3">
      <c r="A395" s="11"/>
      <c r="B395" s="16"/>
      <c r="C395" s="16"/>
      <c r="D395" s="16"/>
      <c r="E395" s="16"/>
      <c r="F395" s="16"/>
      <c r="G395" s="16"/>
      <c r="H395" s="16"/>
      <c r="I395" s="16"/>
    </row>
    <row r="396" spans="1:9" x14ac:dyDescent="0.3">
      <c r="A396" s="11"/>
      <c r="B396" s="16"/>
      <c r="C396" s="16"/>
      <c r="D396" s="16"/>
      <c r="E396" s="16"/>
      <c r="F396" s="16"/>
      <c r="G396" s="16"/>
      <c r="H396" s="16"/>
      <c r="I396" s="16"/>
    </row>
    <row r="397" spans="1:9" x14ac:dyDescent="0.3">
      <c r="A397" s="11"/>
      <c r="B397" s="16"/>
      <c r="C397" s="16"/>
      <c r="D397" s="16"/>
      <c r="E397" s="16"/>
      <c r="F397" s="16"/>
      <c r="G397" s="16"/>
      <c r="H397" s="16"/>
      <c r="I397" s="16"/>
    </row>
    <row r="398" spans="1:9" x14ac:dyDescent="0.3">
      <c r="A398" s="11"/>
      <c r="B398" s="16"/>
      <c r="C398" s="16"/>
      <c r="D398" s="16"/>
      <c r="E398" s="16"/>
      <c r="F398" s="16"/>
      <c r="G398" s="16"/>
      <c r="H398" s="16"/>
      <c r="I398" s="16"/>
    </row>
    <row r="399" spans="1:9" x14ac:dyDescent="0.3">
      <c r="A399" s="11"/>
      <c r="B399" s="16"/>
      <c r="C399" s="16"/>
      <c r="D399" s="16"/>
      <c r="E399" s="16"/>
      <c r="F399" s="16"/>
      <c r="G399" s="16"/>
      <c r="H399" s="16"/>
      <c r="I399" s="16"/>
    </row>
    <row r="400" spans="1:9" x14ac:dyDescent="0.3">
      <c r="A400" s="11"/>
      <c r="B400" s="16"/>
      <c r="C400" s="16"/>
      <c r="D400" s="16"/>
      <c r="E400" s="16"/>
      <c r="F400" s="16"/>
      <c r="G400" s="16"/>
      <c r="H400" s="16"/>
      <c r="I400" s="16"/>
    </row>
    <row r="401" spans="1:1" x14ac:dyDescent="0.3">
      <c r="A401" s="10"/>
    </row>
    <row r="402" spans="1:1" x14ac:dyDescent="0.3">
      <c r="A402" s="10"/>
    </row>
    <row r="403" spans="1:1" x14ac:dyDescent="0.3">
      <c r="A403" s="10"/>
    </row>
    <row r="404" spans="1:1" x14ac:dyDescent="0.3">
      <c r="A404" s="10"/>
    </row>
    <row r="405" spans="1:1" x14ac:dyDescent="0.3">
      <c r="A405" s="10"/>
    </row>
    <row r="406" spans="1:1" x14ac:dyDescent="0.3">
      <c r="A406" s="10"/>
    </row>
    <row r="407" spans="1:1" x14ac:dyDescent="0.3">
      <c r="A407" s="10"/>
    </row>
    <row r="408" spans="1:1" x14ac:dyDescent="0.3">
      <c r="A408" s="10"/>
    </row>
    <row r="409" spans="1:1" x14ac:dyDescent="0.3">
      <c r="A409" s="10"/>
    </row>
    <row r="410" spans="1:1" x14ac:dyDescent="0.3">
      <c r="A410" s="10"/>
    </row>
    <row r="411" spans="1:1" x14ac:dyDescent="0.3">
      <c r="A411" s="10"/>
    </row>
    <row r="412" spans="1:1" x14ac:dyDescent="0.3">
      <c r="A412" s="10"/>
    </row>
    <row r="413" spans="1:1" x14ac:dyDescent="0.3">
      <c r="A413" s="10"/>
    </row>
    <row r="414" spans="1:1" x14ac:dyDescent="0.3">
      <c r="A414" s="10"/>
    </row>
    <row r="415" spans="1:1" x14ac:dyDescent="0.3">
      <c r="A415" s="10"/>
    </row>
    <row r="416" spans="1:1" x14ac:dyDescent="0.3">
      <c r="A416" s="10"/>
    </row>
    <row r="417" spans="1:1" x14ac:dyDescent="0.3">
      <c r="A417" s="10"/>
    </row>
    <row r="418" spans="1:1" x14ac:dyDescent="0.3">
      <c r="A418" s="10"/>
    </row>
    <row r="419" spans="1:1" x14ac:dyDescent="0.3">
      <c r="A419" s="10"/>
    </row>
    <row r="420" spans="1:1" x14ac:dyDescent="0.3">
      <c r="A420" s="10"/>
    </row>
    <row r="421" spans="1:1" x14ac:dyDescent="0.3">
      <c r="A421" s="10"/>
    </row>
    <row r="422" spans="1:1" x14ac:dyDescent="0.3">
      <c r="A422" s="10"/>
    </row>
    <row r="423" spans="1:1" x14ac:dyDescent="0.3">
      <c r="A423" s="10"/>
    </row>
    <row r="424" spans="1:1" x14ac:dyDescent="0.3">
      <c r="A424" s="10"/>
    </row>
    <row r="425" spans="1:1" x14ac:dyDescent="0.3">
      <c r="A425" s="10"/>
    </row>
    <row r="426" spans="1:1" x14ac:dyDescent="0.3">
      <c r="A426" s="10"/>
    </row>
    <row r="427" spans="1:1" x14ac:dyDescent="0.3">
      <c r="A427" s="10"/>
    </row>
    <row r="428" spans="1:1" x14ac:dyDescent="0.3">
      <c r="A428" s="10"/>
    </row>
    <row r="429" spans="1:1" x14ac:dyDescent="0.3">
      <c r="A429" s="10"/>
    </row>
    <row r="430" spans="1:1" x14ac:dyDescent="0.3">
      <c r="A430" s="10"/>
    </row>
    <row r="431" spans="1:1" x14ac:dyDescent="0.3">
      <c r="A431" s="10"/>
    </row>
    <row r="432" spans="1:1" x14ac:dyDescent="0.3">
      <c r="A432" s="10"/>
    </row>
    <row r="433" spans="1:1" x14ac:dyDescent="0.3">
      <c r="A433" s="10"/>
    </row>
    <row r="434" spans="1:1" x14ac:dyDescent="0.3">
      <c r="A434" s="10"/>
    </row>
    <row r="435" spans="1:1" x14ac:dyDescent="0.3">
      <c r="A435" s="10"/>
    </row>
    <row r="436" spans="1:1" x14ac:dyDescent="0.3">
      <c r="A436" s="10"/>
    </row>
    <row r="437" spans="1:1" x14ac:dyDescent="0.3">
      <c r="A437" s="10"/>
    </row>
    <row r="438" spans="1:1" x14ac:dyDescent="0.3">
      <c r="A438" s="10"/>
    </row>
    <row r="439" spans="1:1" x14ac:dyDescent="0.3">
      <c r="A439" s="10"/>
    </row>
    <row r="440" spans="1:1" x14ac:dyDescent="0.3">
      <c r="A440" s="10"/>
    </row>
    <row r="441" spans="1:1" x14ac:dyDescent="0.3">
      <c r="A441" s="10"/>
    </row>
    <row r="442" spans="1:1" x14ac:dyDescent="0.3">
      <c r="A442" s="10"/>
    </row>
    <row r="443" spans="1:1" x14ac:dyDescent="0.3">
      <c r="A443" s="10"/>
    </row>
    <row r="444" spans="1:1" x14ac:dyDescent="0.3">
      <c r="A444" s="10"/>
    </row>
    <row r="445" spans="1:1" x14ac:dyDescent="0.3">
      <c r="A445" s="10"/>
    </row>
    <row r="446" spans="1:1" x14ac:dyDescent="0.3">
      <c r="A446" s="10"/>
    </row>
    <row r="447" spans="1:1" x14ac:dyDescent="0.3">
      <c r="A447" s="10"/>
    </row>
    <row r="448" spans="1:1" x14ac:dyDescent="0.3">
      <c r="A448" s="10"/>
    </row>
    <row r="449" spans="1:1" x14ac:dyDescent="0.3">
      <c r="A449" s="10"/>
    </row>
    <row r="450" spans="1:1" x14ac:dyDescent="0.3">
      <c r="A450" s="10"/>
    </row>
    <row r="451" spans="1:1" x14ac:dyDescent="0.3">
      <c r="A451" s="10"/>
    </row>
    <row r="452" spans="1:1" x14ac:dyDescent="0.3">
      <c r="A452" s="10"/>
    </row>
    <row r="453" spans="1:1" x14ac:dyDescent="0.3">
      <c r="A453" s="10"/>
    </row>
    <row r="454" spans="1:1" x14ac:dyDescent="0.3">
      <c r="A454" s="10"/>
    </row>
    <row r="455" spans="1:1" x14ac:dyDescent="0.3">
      <c r="A455" s="10"/>
    </row>
    <row r="456" spans="1:1" x14ac:dyDescent="0.3">
      <c r="A456" s="10"/>
    </row>
    <row r="457" spans="1:1" x14ac:dyDescent="0.3">
      <c r="A457" s="10"/>
    </row>
    <row r="458" spans="1:1" x14ac:dyDescent="0.3">
      <c r="A458" s="10"/>
    </row>
    <row r="459" spans="1:1" x14ac:dyDescent="0.3">
      <c r="A459" s="10"/>
    </row>
    <row r="460" spans="1:1" x14ac:dyDescent="0.3">
      <c r="A460" s="10"/>
    </row>
    <row r="461" spans="1:1" x14ac:dyDescent="0.3">
      <c r="A461" s="10"/>
    </row>
    <row r="462" spans="1:1" x14ac:dyDescent="0.3">
      <c r="A462" s="10"/>
    </row>
    <row r="463" spans="1:1" x14ac:dyDescent="0.3">
      <c r="A463" s="10"/>
    </row>
    <row r="464" spans="1:1" x14ac:dyDescent="0.3">
      <c r="A464" s="10"/>
    </row>
    <row r="465" spans="1:1" x14ac:dyDescent="0.3">
      <c r="A465" s="10"/>
    </row>
    <row r="466" spans="1:1" x14ac:dyDescent="0.3">
      <c r="A466" s="10"/>
    </row>
    <row r="467" spans="1:1" x14ac:dyDescent="0.3">
      <c r="A467" s="10"/>
    </row>
    <row r="468" spans="1:1" x14ac:dyDescent="0.3">
      <c r="A468" s="10"/>
    </row>
    <row r="469" spans="1:1" x14ac:dyDescent="0.3">
      <c r="A469" s="10"/>
    </row>
    <row r="470" spans="1:1" x14ac:dyDescent="0.3">
      <c r="A470" s="10"/>
    </row>
    <row r="471" spans="1:1" x14ac:dyDescent="0.3">
      <c r="A471" s="10"/>
    </row>
    <row r="472" spans="1:1" x14ac:dyDescent="0.3">
      <c r="A472" s="10"/>
    </row>
    <row r="473" spans="1:1" x14ac:dyDescent="0.3">
      <c r="A473" s="10"/>
    </row>
    <row r="474" spans="1:1" x14ac:dyDescent="0.3">
      <c r="A474" s="10"/>
    </row>
    <row r="475" spans="1:1" x14ac:dyDescent="0.3">
      <c r="A475" s="10"/>
    </row>
    <row r="476" spans="1:1" x14ac:dyDescent="0.3">
      <c r="A476" s="10"/>
    </row>
    <row r="477" spans="1:1" x14ac:dyDescent="0.3">
      <c r="A477" s="10"/>
    </row>
    <row r="478" spans="1:1" x14ac:dyDescent="0.3">
      <c r="A478" s="10"/>
    </row>
    <row r="479" spans="1:1" x14ac:dyDescent="0.3">
      <c r="A479" s="10"/>
    </row>
    <row r="480" spans="1:1" x14ac:dyDescent="0.3">
      <c r="A480" s="10"/>
    </row>
    <row r="481" spans="1:1" x14ac:dyDescent="0.3">
      <c r="A481" s="10"/>
    </row>
    <row r="482" spans="1:1" x14ac:dyDescent="0.3">
      <c r="A482" s="10"/>
    </row>
    <row r="483" spans="1:1" x14ac:dyDescent="0.3">
      <c r="A483" s="10"/>
    </row>
    <row r="484" spans="1:1" x14ac:dyDescent="0.3">
      <c r="A484" s="10"/>
    </row>
    <row r="485" spans="1:1" x14ac:dyDescent="0.3">
      <c r="A485" s="10"/>
    </row>
    <row r="486" spans="1:1" x14ac:dyDescent="0.3">
      <c r="A486" s="10"/>
    </row>
    <row r="487" spans="1:1" x14ac:dyDescent="0.3">
      <c r="A487" s="10"/>
    </row>
    <row r="488" spans="1:1" x14ac:dyDescent="0.3">
      <c r="A488" s="10"/>
    </row>
    <row r="489" spans="1:1" x14ac:dyDescent="0.3">
      <c r="A489" s="10"/>
    </row>
    <row r="490" spans="1:1" x14ac:dyDescent="0.3">
      <c r="A490" s="10"/>
    </row>
    <row r="491" spans="1:1" x14ac:dyDescent="0.3">
      <c r="A491" s="10"/>
    </row>
    <row r="492" spans="1:1" x14ac:dyDescent="0.3">
      <c r="A492" s="10"/>
    </row>
    <row r="493" spans="1:1" x14ac:dyDescent="0.3">
      <c r="A493" s="10"/>
    </row>
    <row r="494" spans="1:1" x14ac:dyDescent="0.3">
      <c r="A494" s="10"/>
    </row>
    <row r="495" spans="1:1" x14ac:dyDescent="0.3">
      <c r="A495" s="10"/>
    </row>
    <row r="496" spans="1:1" x14ac:dyDescent="0.3">
      <c r="A496" s="10"/>
    </row>
    <row r="497" spans="1:1" x14ac:dyDescent="0.3">
      <c r="A497" s="10"/>
    </row>
    <row r="498" spans="1:1" x14ac:dyDescent="0.3">
      <c r="A498" s="10"/>
    </row>
    <row r="499" spans="1:1" x14ac:dyDescent="0.3">
      <c r="A499" s="10"/>
    </row>
    <row r="500" spans="1:1" x14ac:dyDescent="0.3">
      <c r="A500" s="10"/>
    </row>
    <row r="501" spans="1:1" x14ac:dyDescent="0.3">
      <c r="A501" s="10"/>
    </row>
    <row r="502" spans="1:1" x14ac:dyDescent="0.3">
      <c r="A502" s="10"/>
    </row>
    <row r="503" spans="1:1" x14ac:dyDescent="0.3">
      <c r="A503" s="10"/>
    </row>
    <row r="504" spans="1:1" x14ac:dyDescent="0.3">
      <c r="A504" s="10"/>
    </row>
    <row r="505" spans="1:1" x14ac:dyDescent="0.3">
      <c r="A505" s="10"/>
    </row>
    <row r="506" spans="1:1" x14ac:dyDescent="0.3">
      <c r="A506" s="10"/>
    </row>
    <row r="507" spans="1:1" x14ac:dyDescent="0.3">
      <c r="A507" s="10"/>
    </row>
    <row r="508" spans="1:1" x14ac:dyDescent="0.3">
      <c r="A508" s="10"/>
    </row>
    <row r="509" spans="1:1" x14ac:dyDescent="0.3">
      <c r="A509" s="10"/>
    </row>
    <row r="510" spans="1:1" x14ac:dyDescent="0.3">
      <c r="A510" s="10"/>
    </row>
    <row r="511" spans="1:1" x14ac:dyDescent="0.3">
      <c r="A511" s="10"/>
    </row>
    <row r="512" spans="1:1" x14ac:dyDescent="0.3">
      <c r="A512" s="10"/>
    </row>
    <row r="513" spans="1:1" x14ac:dyDescent="0.3">
      <c r="A513" s="10"/>
    </row>
    <row r="514" spans="1:1" x14ac:dyDescent="0.3">
      <c r="A514" s="10"/>
    </row>
    <row r="515" spans="1:1" x14ac:dyDescent="0.3">
      <c r="A515" s="10"/>
    </row>
    <row r="516" spans="1:1" x14ac:dyDescent="0.3">
      <c r="A516" s="10"/>
    </row>
    <row r="517" spans="1:1" x14ac:dyDescent="0.3">
      <c r="A517" s="10"/>
    </row>
    <row r="518" spans="1:1" x14ac:dyDescent="0.3">
      <c r="A518" s="10"/>
    </row>
    <row r="519" spans="1:1" x14ac:dyDescent="0.3">
      <c r="A519" s="10"/>
    </row>
    <row r="520" spans="1:1" x14ac:dyDescent="0.3">
      <c r="A520" s="10"/>
    </row>
    <row r="521" spans="1:1" x14ac:dyDescent="0.3">
      <c r="A521" s="10"/>
    </row>
    <row r="522" spans="1:1" x14ac:dyDescent="0.3">
      <c r="A522" s="10"/>
    </row>
    <row r="523" spans="1:1" x14ac:dyDescent="0.3">
      <c r="A523" s="10"/>
    </row>
    <row r="524" spans="1:1" x14ac:dyDescent="0.3">
      <c r="A524" s="10"/>
    </row>
    <row r="525" spans="1:1" x14ac:dyDescent="0.3">
      <c r="A525" s="10"/>
    </row>
    <row r="526" spans="1:1" x14ac:dyDescent="0.3">
      <c r="A526" s="10"/>
    </row>
    <row r="527" spans="1:1" x14ac:dyDescent="0.3">
      <c r="A527" s="10"/>
    </row>
    <row r="528" spans="1:1" x14ac:dyDescent="0.3">
      <c r="A528" s="10"/>
    </row>
    <row r="529" spans="1:1" x14ac:dyDescent="0.3">
      <c r="A529" s="10"/>
    </row>
    <row r="530" spans="1:1" x14ac:dyDescent="0.3">
      <c r="A530" s="10"/>
    </row>
    <row r="531" spans="1:1" x14ac:dyDescent="0.3">
      <c r="A531" s="10"/>
    </row>
    <row r="532" spans="1:1" x14ac:dyDescent="0.3">
      <c r="A532" s="10"/>
    </row>
    <row r="533" spans="1:1" x14ac:dyDescent="0.3">
      <c r="A533" s="10"/>
    </row>
    <row r="534" spans="1:1" x14ac:dyDescent="0.3">
      <c r="A534" s="10"/>
    </row>
    <row r="535" spans="1:1" x14ac:dyDescent="0.3">
      <c r="A535" s="10"/>
    </row>
    <row r="536" spans="1:1" x14ac:dyDescent="0.3">
      <c r="A536" s="10"/>
    </row>
    <row r="537" spans="1:1" x14ac:dyDescent="0.3">
      <c r="A537" s="10"/>
    </row>
    <row r="538" spans="1:1" x14ac:dyDescent="0.3">
      <c r="A538" s="10"/>
    </row>
    <row r="539" spans="1:1" x14ac:dyDescent="0.3">
      <c r="A539" s="10"/>
    </row>
    <row r="540" spans="1:1" x14ac:dyDescent="0.3">
      <c r="A540" s="10"/>
    </row>
    <row r="541" spans="1:1" x14ac:dyDescent="0.3">
      <c r="A541" s="10"/>
    </row>
    <row r="542" spans="1:1" x14ac:dyDescent="0.3">
      <c r="A542" s="10"/>
    </row>
    <row r="543" spans="1:1" x14ac:dyDescent="0.3">
      <c r="A543" s="10"/>
    </row>
    <row r="544" spans="1:1" x14ac:dyDescent="0.3">
      <c r="A544" s="10"/>
    </row>
    <row r="545" spans="1:1" x14ac:dyDescent="0.3">
      <c r="A545" s="10"/>
    </row>
    <row r="546" spans="1:1" x14ac:dyDescent="0.3">
      <c r="A546" s="10"/>
    </row>
    <row r="547" spans="1:1" x14ac:dyDescent="0.3">
      <c r="A547" s="10"/>
    </row>
    <row r="548" spans="1:1" x14ac:dyDescent="0.3">
      <c r="A548" s="10"/>
    </row>
    <row r="549" spans="1:1" x14ac:dyDescent="0.3">
      <c r="A549" s="10"/>
    </row>
    <row r="550" spans="1:1" x14ac:dyDescent="0.3">
      <c r="A550" s="10"/>
    </row>
    <row r="551" spans="1:1" x14ac:dyDescent="0.3">
      <c r="A551" s="10"/>
    </row>
    <row r="552" spans="1:1" x14ac:dyDescent="0.3">
      <c r="A552" s="10"/>
    </row>
    <row r="553" spans="1:1" x14ac:dyDescent="0.3">
      <c r="A553" s="10"/>
    </row>
    <row r="554" spans="1:1" x14ac:dyDescent="0.3">
      <c r="A554" s="10"/>
    </row>
    <row r="555" spans="1:1" x14ac:dyDescent="0.3">
      <c r="A555" s="10"/>
    </row>
    <row r="556" spans="1:1" x14ac:dyDescent="0.3">
      <c r="A556" s="10"/>
    </row>
    <row r="557" spans="1:1" x14ac:dyDescent="0.3">
      <c r="A557" s="10"/>
    </row>
    <row r="558" spans="1:1" x14ac:dyDescent="0.3">
      <c r="A558" s="10"/>
    </row>
    <row r="559" spans="1:1" x14ac:dyDescent="0.3">
      <c r="A559" s="10"/>
    </row>
    <row r="560" spans="1:1" x14ac:dyDescent="0.3">
      <c r="A560" s="10"/>
    </row>
    <row r="561" spans="1:1" x14ac:dyDescent="0.3">
      <c r="A561" s="10"/>
    </row>
    <row r="562" spans="1:1" x14ac:dyDescent="0.3">
      <c r="A562" s="10"/>
    </row>
    <row r="563" spans="1:1" x14ac:dyDescent="0.3">
      <c r="A563" s="10"/>
    </row>
    <row r="564" spans="1:1" x14ac:dyDescent="0.3">
      <c r="A564" s="10"/>
    </row>
    <row r="565" spans="1:1" x14ac:dyDescent="0.3">
      <c r="A565" s="10"/>
    </row>
    <row r="566" spans="1:1" x14ac:dyDescent="0.3">
      <c r="A566" s="10"/>
    </row>
    <row r="567" spans="1:1" x14ac:dyDescent="0.3">
      <c r="A567" s="10"/>
    </row>
    <row r="568" spans="1:1" x14ac:dyDescent="0.3">
      <c r="A568" s="10"/>
    </row>
    <row r="569" spans="1:1" x14ac:dyDescent="0.3">
      <c r="A569" s="10"/>
    </row>
    <row r="570" spans="1:1" x14ac:dyDescent="0.3">
      <c r="A570" s="10"/>
    </row>
    <row r="571" spans="1:1" x14ac:dyDescent="0.3">
      <c r="A571" s="10"/>
    </row>
    <row r="572" spans="1:1" x14ac:dyDescent="0.3">
      <c r="A572" s="10"/>
    </row>
    <row r="573" spans="1:1" x14ac:dyDescent="0.3">
      <c r="A573" s="10"/>
    </row>
    <row r="574" spans="1:1" x14ac:dyDescent="0.3">
      <c r="A574" s="10"/>
    </row>
    <row r="575" spans="1:1" x14ac:dyDescent="0.3">
      <c r="A575" s="10"/>
    </row>
    <row r="576" spans="1:1" x14ac:dyDescent="0.3">
      <c r="A576" s="10"/>
    </row>
    <row r="577" spans="1:1" x14ac:dyDescent="0.3">
      <c r="A577" s="10"/>
    </row>
    <row r="578" spans="1:1" x14ac:dyDescent="0.3">
      <c r="A578" s="10"/>
    </row>
    <row r="579" spans="1:1" x14ac:dyDescent="0.3">
      <c r="A579" s="10"/>
    </row>
    <row r="580" spans="1:1" x14ac:dyDescent="0.3">
      <c r="A580" s="10"/>
    </row>
    <row r="581" spans="1:1" x14ac:dyDescent="0.3">
      <c r="A581" s="10"/>
    </row>
    <row r="582" spans="1:1" x14ac:dyDescent="0.3">
      <c r="A582" s="10"/>
    </row>
    <row r="583" spans="1:1" x14ac:dyDescent="0.3">
      <c r="A583" s="10"/>
    </row>
    <row r="584" spans="1:1" x14ac:dyDescent="0.3">
      <c r="A584" s="10"/>
    </row>
    <row r="585" spans="1:1" x14ac:dyDescent="0.3">
      <c r="A585" s="10"/>
    </row>
    <row r="586" spans="1:1" x14ac:dyDescent="0.3">
      <c r="A586" s="10"/>
    </row>
    <row r="587" spans="1:1" x14ac:dyDescent="0.3">
      <c r="A587" s="10"/>
    </row>
    <row r="588" spans="1:1" x14ac:dyDescent="0.3">
      <c r="A588" s="10"/>
    </row>
    <row r="589" spans="1:1" x14ac:dyDescent="0.3">
      <c r="A589" s="10"/>
    </row>
    <row r="590" spans="1:1" x14ac:dyDescent="0.3">
      <c r="A590" s="10"/>
    </row>
    <row r="591" spans="1:1" x14ac:dyDescent="0.3">
      <c r="A591" s="10"/>
    </row>
    <row r="592" spans="1:1" x14ac:dyDescent="0.3">
      <c r="A592" s="10"/>
    </row>
    <row r="593" spans="1:1" x14ac:dyDescent="0.3">
      <c r="A593" s="10"/>
    </row>
    <row r="594" spans="1:1" x14ac:dyDescent="0.3">
      <c r="A594" s="10"/>
    </row>
    <row r="595" spans="1:1" x14ac:dyDescent="0.3">
      <c r="A595" s="10"/>
    </row>
    <row r="596" spans="1:1" x14ac:dyDescent="0.3">
      <c r="A596" s="10"/>
    </row>
    <row r="597" spans="1:1" x14ac:dyDescent="0.3">
      <c r="A597" s="10"/>
    </row>
    <row r="598" spans="1:1" x14ac:dyDescent="0.3">
      <c r="A598" s="10"/>
    </row>
    <row r="599" spans="1:1" x14ac:dyDescent="0.3">
      <c r="A599" s="10"/>
    </row>
    <row r="600" spans="1:1" x14ac:dyDescent="0.3">
      <c r="A600" s="10"/>
    </row>
    <row r="601" spans="1:1" x14ac:dyDescent="0.3">
      <c r="A601" s="10"/>
    </row>
    <row r="602" spans="1:1" x14ac:dyDescent="0.3">
      <c r="A602" s="10"/>
    </row>
    <row r="603" spans="1:1" x14ac:dyDescent="0.3">
      <c r="A603" s="10"/>
    </row>
    <row r="604" spans="1:1" x14ac:dyDescent="0.3">
      <c r="A604" s="10"/>
    </row>
    <row r="605" spans="1:1" x14ac:dyDescent="0.3">
      <c r="A605" s="10"/>
    </row>
    <row r="606" spans="1:1" x14ac:dyDescent="0.3">
      <c r="A606" s="10"/>
    </row>
    <row r="607" spans="1:1" x14ac:dyDescent="0.3">
      <c r="A607" s="10"/>
    </row>
    <row r="608" spans="1:1" x14ac:dyDescent="0.3">
      <c r="A608" s="10"/>
    </row>
    <row r="609" spans="1:1" x14ac:dyDescent="0.3">
      <c r="A609" s="10"/>
    </row>
    <row r="610" spans="1:1" x14ac:dyDescent="0.3">
      <c r="A610" s="10"/>
    </row>
    <row r="611" spans="1:1" x14ac:dyDescent="0.3">
      <c r="A611" s="10"/>
    </row>
    <row r="612" spans="1:1" x14ac:dyDescent="0.3">
      <c r="A612" s="10"/>
    </row>
    <row r="613" spans="1:1" x14ac:dyDescent="0.3">
      <c r="A613" s="10"/>
    </row>
    <row r="614" spans="1:1" x14ac:dyDescent="0.3">
      <c r="A614" s="10"/>
    </row>
    <row r="615" spans="1:1" x14ac:dyDescent="0.3">
      <c r="A615" s="10"/>
    </row>
    <row r="616" spans="1:1" x14ac:dyDescent="0.3">
      <c r="A616" s="10"/>
    </row>
    <row r="617" spans="1:1" x14ac:dyDescent="0.3">
      <c r="A617" s="10"/>
    </row>
    <row r="618" spans="1:1" x14ac:dyDescent="0.3">
      <c r="A618" s="10"/>
    </row>
    <row r="619" spans="1:1" x14ac:dyDescent="0.3">
      <c r="A619" s="10"/>
    </row>
    <row r="620" spans="1:1" x14ac:dyDescent="0.3">
      <c r="A620" s="10"/>
    </row>
    <row r="621" spans="1:1" x14ac:dyDescent="0.3">
      <c r="A621" s="10"/>
    </row>
    <row r="622" spans="1:1" x14ac:dyDescent="0.3">
      <c r="A622" s="10"/>
    </row>
    <row r="623" spans="1:1" x14ac:dyDescent="0.3">
      <c r="A623" s="10"/>
    </row>
    <row r="624" spans="1:1" x14ac:dyDescent="0.3">
      <c r="A624" s="10"/>
    </row>
    <row r="625" spans="1:1" x14ac:dyDescent="0.3">
      <c r="A625" s="10"/>
    </row>
    <row r="626" spans="1:1" x14ac:dyDescent="0.3">
      <c r="A626" s="10"/>
    </row>
    <row r="627" spans="1:1" x14ac:dyDescent="0.3">
      <c r="A627" s="10"/>
    </row>
    <row r="628" spans="1:1" x14ac:dyDescent="0.3">
      <c r="A628" s="10"/>
    </row>
    <row r="629" spans="1:1" x14ac:dyDescent="0.3">
      <c r="A629" s="10"/>
    </row>
    <row r="630" spans="1:1" x14ac:dyDescent="0.3">
      <c r="A630" s="10"/>
    </row>
    <row r="631" spans="1:1" x14ac:dyDescent="0.3">
      <c r="A631" s="10"/>
    </row>
    <row r="632" spans="1:1" x14ac:dyDescent="0.3">
      <c r="A632" s="10"/>
    </row>
    <row r="633" spans="1:1" x14ac:dyDescent="0.3">
      <c r="A633" s="10"/>
    </row>
    <row r="634" spans="1:1" x14ac:dyDescent="0.3">
      <c r="A634" s="10"/>
    </row>
    <row r="635" spans="1:1" x14ac:dyDescent="0.3">
      <c r="A635" s="10"/>
    </row>
    <row r="636" spans="1:1" x14ac:dyDescent="0.3">
      <c r="A636" s="10"/>
    </row>
    <row r="637" spans="1:1" x14ac:dyDescent="0.3">
      <c r="A637" s="10"/>
    </row>
    <row r="638" spans="1:1" x14ac:dyDescent="0.3">
      <c r="A638" s="10"/>
    </row>
    <row r="639" spans="1:1" x14ac:dyDescent="0.3">
      <c r="A639" s="10"/>
    </row>
    <row r="640" spans="1:1" x14ac:dyDescent="0.3">
      <c r="A640" s="10"/>
    </row>
    <row r="641" spans="1:1" x14ac:dyDescent="0.3">
      <c r="A641" s="10"/>
    </row>
    <row r="642" spans="1:1" x14ac:dyDescent="0.3">
      <c r="A642" s="10"/>
    </row>
    <row r="643" spans="1:1" x14ac:dyDescent="0.3">
      <c r="A643" s="10"/>
    </row>
    <row r="644" spans="1:1" x14ac:dyDescent="0.3">
      <c r="A644" s="10"/>
    </row>
    <row r="645" spans="1:1" x14ac:dyDescent="0.3">
      <c r="A645" s="10"/>
    </row>
    <row r="646" spans="1:1" x14ac:dyDescent="0.3">
      <c r="A646" s="10"/>
    </row>
    <row r="647" spans="1:1" x14ac:dyDescent="0.3">
      <c r="A647" s="10"/>
    </row>
    <row r="648" spans="1:1" x14ac:dyDescent="0.3">
      <c r="A648" s="10"/>
    </row>
    <row r="649" spans="1:1" x14ac:dyDescent="0.3">
      <c r="A649" s="10"/>
    </row>
    <row r="650" spans="1:1" x14ac:dyDescent="0.3">
      <c r="A650" s="10"/>
    </row>
    <row r="651" spans="1:1" x14ac:dyDescent="0.3">
      <c r="A651" s="10"/>
    </row>
    <row r="652" spans="1:1" x14ac:dyDescent="0.3">
      <c r="A652" s="10"/>
    </row>
    <row r="653" spans="1:1" x14ac:dyDescent="0.3">
      <c r="A653" s="10"/>
    </row>
    <row r="654" spans="1:1" x14ac:dyDescent="0.3">
      <c r="A654" s="10"/>
    </row>
    <row r="655" spans="1:1" x14ac:dyDescent="0.3">
      <c r="A655" s="10"/>
    </row>
    <row r="656" spans="1:1" x14ac:dyDescent="0.3">
      <c r="A656" s="10"/>
    </row>
    <row r="657" spans="1:1" x14ac:dyDescent="0.3">
      <c r="A657" s="10"/>
    </row>
    <row r="658" spans="1:1" x14ac:dyDescent="0.3">
      <c r="A658" s="10"/>
    </row>
    <row r="659" spans="1:1" x14ac:dyDescent="0.3">
      <c r="A659" s="10"/>
    </row>
    <row r="660" spans="1:1" x14ac:dyDescent="0.3">
      <c r="A660" s="10"/>
    </row>
    <row r="661" spans="1:1" x14ac:dyDescent="0.3">
      <c r="A661" s="10"/>
    </row>
    <row r="662" spans="1:1" x14ac:dyDescent="0.3">
      <c r="A662" s="10"/>
    </row>
    <row r="663" spans="1:1" x14ac:dyDescent="0.3">
      <c r="A663" s="10"/>
    </row>
    <row r="664" spans="1:1" x14ac:dyDescent="0.3">
      <c r="A664" s="10"/>
    </row>
    <row r="665" spans="1:1" x14ac:dyDescent="0.3">
      <c r="A665" s="10"/>
    </row>
    <row r="666" spans="1:1" x14ac:dyDescent="0.3">
      <c r="A666" s="10"/>
    </row>
    <row r="667" spans="1:1" x14ac:dyDescent="0.3">
      <c r="A667" s="10"/>
    </row>
    <row r="668" spans="1:1" x14ac:dyDescent="0.3">
      <c r="A668" s="10"/>
    </row>
    <row r="669" spans="1:1" x14ac:dyDescent="0.3">
      <c r="A669" s="10"/>
    </row>
    <row r="670" spans="1:1" x14ac:dyDescent="0.3">
      <c r="A670" s="10"/>
    </row>
    <row r="671" spans="1:1" x14ac:dyDescent="0.3">
      <c r="A671" s="10"/>
    </row>
    <row r="672" spans="1:1" x14ac:dyDescent="0.3">
      <c r="A672" s="10"/>
    </row>
    <row r="673" spans="1:1" x14ac:dyDescent="0.3">
      <c r="A673" s="10"/>
    </row>
    <row r="674" spans="1:1" x14ac:dyDescent="0.3">
      <c r="A674" s="10"/>
    </row>
    <row r="675" spans="1:1" x14ac:dyDescent="0.3">
      <c r="A675" s="10"/>
    </row>
    <row r="676" spans="1:1" x14ac:dyDescent="0.3">
      <c r="A676" s="10"/>
    </row>
    <row r="677" spans="1:1" x14ac:dyDescent="0.3">
      <c r="A677" s="10"/>
    </row>
    <row r="678" spans="1:1" x14ac:dyDescent="0.3">
      <c r="A678" s="10"/>
    </row>
    <row r="679" spans="1:1" x14ac:dyDescent="0.3">
      <c r="A679" s="10"/>
    </row>
    <row r="680" spans="1:1" x14ac:dyDescent="0.3">
      <c r="A680" s="10"/>
    </row>
    <row r="681" spans="1:1" x14ac:dyDescent="0.3">
      <c r="A681" s="10"/>
    </row>
    <row r="682" spans="1:1" x14ac:dyDescent="0.3">
      <c r="A682" s="10"/>
    </row>
    <row r="683" spans="1:1" x14ac:dyDescent="0.3">
      <c r="A683" s="10"/>
    </row>
    <row r="684" spans="1:1" x14ac:dyDescent="0.3">
      <c r="A684" s="10"/>
    </row>
    <row r="685" spans="1:1" x14ac:dyDescent="0.3">
      <c r="A685" s="10"/>
    </row>
    <row r="686" spans="1:1" x14ac:dyDescent="0.3">
      <c r="A686" s="10"/>
    </row>
    <row r="687" spans="1:1" x14ac:dyDescent="0.3">
      <c r="A687" s="10"/>
    </row>
    <row r="688" spans="1:1" x14ac:dyDescent="0.3">
      <c r="A688" s="10"/>
    </row>
    <row r="689" spans="1:1" x14ac:dyDescent="0.3">
      <c r="A689" s="10"/>
    </row>
    <row r="690" spans="1:1" x14ac:dyDescent="0.3">
      <c r="A690" s="10"/>
    </row>
    <row r="691" spans="1:1" x14ac:dyDescent="0.3">
      <c r="A691" s="10"/>
    </row>
    <row r="692" spans="1:1" x14ac:dyDescent="0.3">
      <c r="A692" s="10"/>
    </row>
    <row r="693" spans="1:1" x14ac:dyDescent="0.3">
      <c r="A693" s="10"/>
    </row>
    <row r="694" spans="1:1" x14ac:dyDescent="0.3">
      <c r="A694" s="10"/>
    </row>
    <row r="695" spans="1:1" x14ac:dyDescent="0.3">
      <c r="A695" s="10"/>
    </row>
    <row r="696" spans="1:1" x14ac:dyDescent="0.3">
      <c r="A696" s="10"/>
    </row>
    <row r="697" spans="1:1" x14ac:dyDescent="0.3">
      <c r="A697" s="10"/>
    </row>
    <row r="698" spans="1:1" x14ac:dyDescent="0.3">
      <c r="A698" s="10"/>
    </row>
    <row r="699" spans="1:1" x14ac:dyDescent="0.3">
      <c r="A699" s="10"/>
    </row>
    <row r="700" spans="1:1" x14ac:dyDescent="0.3">
      <c r="A700" s="10"/>
    </row>
    <row r="701" spans="1:1" x14ac:dyDescent="0.3">
      <c r="A701" s="10"/>
    </row>
    <row r="702" spans="1:1" x14ac:dyDescent="0.3">
      <c r="A702" s="10"/>
    </row>
    <row r="703" spans="1:1" x14ac:dyDescent="0.3">
      <c r="A703" s="10"/>
    </row>
    <row r="704" spans="1:1" x14ac:dyDescent="0.3">
      <c r="A704" s="10"/>
    </row>
    <row r="705" spans="1:1" x14ac:dyDescent="0.3">
      <c r="A705" s="10"/>
    </row>
    <row r="706" spans="1:1" x14ac:dyDescent="0.3">
      <c r="A706" s="10"/>
    </row>
    <row r="707" spans="1:1" x14ac:dyDescent="0.3">
      <c r="A707" s="10"/>
    </row>
    <row r="708" spans="1:1" x14ac:dyDescent="0.3">
      <c r="A708" s="10"/>
    </row>
    <row r="709" spans="1:1" x14ac:dyDescent="0.3">
      <c r="A709" s="10"/>
    </row>
    <row r="710" spans="1:1" x14ac:dyDescent="0.3">
      <c r="A710" s="10"/>
    </row>
    <row r="711" spans="1:1" x14ac:dyDescent="0.3">
      <c r="A711" s="10"/>
    </row>
    <row r="712" spans="1:1" x14ac:dyDescent="0.3">
      <c r="A712" s="10"/>
    </row>
    <row r="713" spans="1:1" x14ac:dyDescent="0.3">
      <c r="A713" s="10"/>
    </row>
    <row r="714" spans="1:1" x14ac:dyDescent="0.3">
      <c r="A714" s="10"/>
    </row>
    <row r="715" spans="1:1" x14ac:dyDescent="0.3">
      <c r="A715" s="10"/>
    </row>
    <row r="716" spans="1:1" x14ac:dyDescent="0.3">
      <c r="A716" s="10"/>
    </row>
    <row r="717" spans="1:1" x14ac:dyDescent="0.3">
      <c r="A717" s="10"/>
    </row>
    <row r="718" spans="1:1" x14ac:dyDescent="0.3">
      <c r="A718" s="10"/>
    </row>
    <row r="719" spans="1:1" x14ac:dyDescent="0.3">
      <c r="A719" s="10"/>
    </row>
    <row r="720" spans="1:1" x14ac:dyDescent="0.3">
      <c r="A720" s="10"/>
    </row>
    <row r="721" spans="1:1" x14ac:dyDescent="0.3">
      <c r="A721" s="10"/>
    </row>
    <row r="722" spans="1:1" x14ac:dyDescent="0.3">
      <c r="A722" s="10"/>
    </row>
    <row r="723" spans="1:1" x14ac:dyDescent="0.3">
      <c r="A723" s="10"/>
    </row>
    <row r="724" spans="1:1" x14ac:dyDescent="0.3">
      <c r="A724" s="10"/>
    </row>
    <row r="725" spans="1:1" x14ac:dyDescent="0.3">
      <c r="A725" s="10"/>
    </row>
    <row r="726" spans="1:1" x14ac:dyDescent="0.3">
      <c r="A726" s="10"/>
    </row>
    <row r="727" spans="1:1" x14ac:dyDescent="0.3">
      <c r="A727" s="10"/>
    </row>
    <row r="728" spans="1:1" x14ac:dyDescent="0.3">
      <c r="A728" s="10"/>
    </row>
    <row r="729" spans="1:1" x14ac:dyDescent="0.3">
      <c r="A729" s="10"/>
    </row>
    <row r="730" spans="1:1" x14ac:dyDescent="0.3">
      <c r="A730" s="10"/>
    </row>
    <row r="731" spans="1:1" x14ac:dyDescent="0.3">
      <c r="A731" s="10"/>
    </row>
    <row r="732" spans="1:1" x14ac:dyDescent="0.3">
      <c r="A732" s="10"/>
    </row>
    <row r="733" spans="1:1" x14ac:dyDescent="0.3">
      <c r="A733" s="10"/>
    </row>
    <row r="734" spans="1:1" x14ac:dyDescent="0.3">
      <c r="A734" s="10"/>
    </row>
    <row r="735" spans="1:1" x14ac:dyDescent="0.3">
      <c r="A735" s="10"/>
    </row>
    <row r="736" spans="1:1" x14ac:dyDescent="0.3">
      <c r="A736" s="10"/>
    </row>
    <row r="737" spans="1:1" x14ac:dyDescent="0.3">
      <c r="A737" s="10"/>
    </row>
    <row r="738" spans="1:1" x14ac:dyDescent="0.3">
      <c r="A738" s="10"/>
    </row>
    <row r="739" spans="1:1" x14ac:dyDescent="0.3">
      <c r="A739" s="10"/>
    </row>
    <row r="740" spans="1:1" x14ac:dyDescent="0.3">
      <c r="A740" s="10"/>
    </row>
    <row r="741" spans="1:1" x14ac:dyDescent="0.3">
      <c r="A741" s="10"/>
    </row>
    <row r="742" spans="1:1" x14ac:dyDescent="0.3">
      <c r="A742" s="10"/>
    </row>
    <row r="743" spans="1:1" x14ac:dyDescent="0.3">
      <c r="A743" s="10"/>
    </row>
    <row r="744" spans="1:1" x14ac:dyDescent="0.3">
      <c r="A744" s="10"/>
    </row>
    <row r="745" spans="1:1" x14ac:dyDescent="0.3">
      <c r="A745" s="10"/>
    </row>
    <row r="746" spans="1:1" x14ac:dyDescent="0.3">
      <c r="A746" s="10"/>
    </row>
    <row r="747" spans="1:1" x14ac:dyDescent="0.3">
      <c r="A747" s="10"/>
    </row>
    <row r="748" spans="1:1" x14ac:dyDescent="0.3">
      <c r="A748" s="10"/>
    </row>
    <row r="749" spans="1:1" x14ac:dyDescent="0.3">
      <c r="A749" s="10"/>
    </row>
    <row r="750" spans="1:1" x14ac:dyDescent="0.3">
      <c r="A750" s="10"/>
    </row>
    <row r="751" spans="1:1" x14ac:dyDescent="0.3">
      <c r="A751" s="10"/>
    </row>
    <row r="752" spans="1:1" x14ac:dyDescent="0.3">
      <c r="A752" s="10"/>
    </row>
    <row r="753" spans="1:1" x14ac:dyDescent="0.3">
      <c r="A753" s="10"/>
    </row>
    <row r="754" spans="1:1" x14ac:dyDescent="0.3">
      <c r="A754" s="10"/>
    </row>
    <row r="755" spans="1:1" x14ac:dyDescent="0.3">
      <c r="A755" s="10"/>
    </row>
    <row r="756" spans="1:1" x14ac:dyDescent="0.3">
      <c r="A756" s="10"/>
    </row>
    <row r="757" spans="1:1" x14ac:dyDescent="0.3">
      <c r="A757" s="10"/>
    </row>
    <row r="758" spans="1:1" x14ac:dyDescent="0.3">
      <c r="A758" s="10"/>
    </row>
    <row r="759" spans="1:1" x14ac:dyDescent="0.3">
      <c r="A759" s="10"/>
    </row>
    <row r="760" spans="1:1" x14ac:dyDescent="0.3">
      <c r="A760" s="10"/>
    </row>
    <row r="761" spans="1:1" x14ac:dyDescent="0.3">
      <c r="A761" s="10"/>
    </row>
    <row r="762" spans="1:1" x14ac:dyDescent="0.3">
      <c r="A762" s="10"/>
    </row>
    <row r="763" spans="1:1" x14ac:dyDescent="0.3">
      <c r="A763" s="10"/>
    </row>
    <row r="764" spans="1:1" x14ac:dyDescent="0.3">
      <c r="A764" s="10"/>
    </row>
    <row r="765" spans="1:1" x14ac:dyDescent="0.3">
      <c r="A765" s="10"/>
    </row>
    <row r="766" spans="1:1" x14ac:dyDescent="0.3">
      <c r="A766" s="10"/>
    </row>
    <row r="767" spans="1:1" x14ac:dyDescent="0.3">
      <c r="A767" s="10"/>
    </row>
    <row r="768" spans="1:1" x14ac:dyDescent="0.3">
      <c r="A768" s="10"/>
    </row>
    <row r="769" spans="1:1" x14ac:dyDescent="0.3">
      <c r="A769" s="10"/>
    </row>
    <row r="770" spans="1:1" x14ac:dyDescent="0.3">
      <c r="A770" s="10"/>
    </row>
    <row r="771" spans="1:1" x14ac:dyDescent="0.3">
      <c r="A771" s="10"/>
    </row>
    <row r="772" spans="1:1" x14ac:dyDescent="0.3">
      <c r="A772" s="10"/>
    </row>
    <row r="773" spans="1:1" x14ac:dyDescent="0.3">
      <c r="A773" s="10"/>
    </row>
    <row r="774" spans="1:1" x14ac:dyDescent="0.3">
      <c r="A774" s="10"/>
    </row>
    <row r="775" spans="1:1" x14ac:dyDescent="0.3">
      <c r="A775" s="10"/>
    </row>
    <row r="776" spans="1:1" x14ac:dyDescent="0.3">
      <c r="A776" s="10"/>
    </row>
    <row r="777" spans="1:1" x14ac:dyDescent="0.3">
      <c r="A777" s="10"/>
    </row>
    <row r="778" spans="1:1" x14ac:dyDescent="0.3">
      <c r="A778" s="10"/>
    </row>
    <row r="779" spans="1:1" x14ac:dyDescent="0.3">
      <c r="A779" s="10"/>
    </row>
    <row r="780" spans="1:1" x14ac:dyDescent="0.3">
      <c r="A780" s="10"/>
    </row>
    <row r="781" spans="1:1" x14ac:dyDescent="0.3">
      <c r="A781" s="10"/>
    </row>
    <row r="782" spans="1:1" x14ac:dyDescent="0.3">
      <c r="A782" s="10"/>
    </row>
    <row r="783" spans="1:1" x14ac:dyDescent="0.3">
      <c r="A783" s="10"/>
    </row>
    <row r="784" spans="1:1" x14ac:dyDescent="0.3">
      <c r="A784" s="10"/>
    </row>
    <row r="785" spans="1:1" x14ac:dyDescent="0.3">
      <c r="A785" s="10"/>
    </row>
    <row r="786" spans="1:1" x14ac:dyDescent="0.3">
      <c r="A786" s="10"/>
    </row>
    <row r="787" spans="1:1" x14ac:dyDescent="0.3">
      <c r="A787" s="10"/>
    </row>
    <row r="788" spans="1:1" x14ac:dyDescent="0.3">
      <c r="A788" s="10"/>
    </row>
    <row r="789" spans="1:1" x14ac:dyDescent="0.3">
      <c r="A789" s="10"/>
    </row>
    <row r="790" spans="1:1" x14ac:dyDescent="0.3">
      <c r="A790" s="10"/>
    </row>
    <row r="791" spans="1:1" x14ac:dyDescent="0.3">
      <c r="A791" s="10"/>
    </row>
    <row r="792" spans="1:1" x14ac:dyDescent="0.3">
      <c r="A792" s="10"/>
    </row>
    <row r="793" spans="1:1" x14ac:dyDescent="0.3">
      <c r="A793" s="10"/>
    </row>
    <row r="794" spans="1:1" x14ac:dyDescent="0.3">
      <c r="A794" s="10"/>
    </row>
    <row r="795" spans="1:1" x14ac:dyDescent="0.3">
      <c r="A795" s="10"/>
    </row>
    <row r="796" spans="1:1" x14ac:dyDescent="0.3">
      <c r="A796" s="10"/>
    </row>
    <row r="797" spans="1:1" x14ac:dyDescent="0.3">
      <c r="A797" s="10"/>
    </row>
    <row r="798" spans="1:1" x14ac:dyDescent="0.3">
      <c r="A798" s="10"/>
    </row>
    <row r="799" spans="1:1" x14ac:dyDescent="0.3">
      <c r="A799" s="10"/>
    </row>
    <row r="800" spans="1:1" x14ac:dyDescent="0.3">
      <c r="A800" s="10"/>
    </row>
    <row r="801" spans="1:1" x14ac:dyDescent="0.3">
      <c r="A801" s="10"/>
    </row>
    <row r="802" spans="1:1" x14ac:dyDescent="0.3">
      <c r="A802" s="10"/>
    </row>
    <row r="803" spans="1:1" x14ac:dyDescent="0.3">
      <c r="A803" s="10"/>
    </row>
    <row r="804" spans="1:1" x14ac:dyDescent="0.3">
      <c r="A804" s="10"/>
    </row>
    <row r="805" spans="1:1" x14ac:dyDescent="0.3">
      <c r="A805" s="10"/>
    </row>
    <row r="806" spans="1:1" x14ac:dyDescent="0.3">
      <c r="A806" s="10"/>
    </row>
    <row r="807" spans="1:1" x14ac:dyDescent="0.3">
      <c r="A807" s="10"/>
    </row>
    <row r="808" spans="1:1" x14ac:dyDescent="0.3">
      <c r="A808" s="10"/>
    </row>
    <row r="809" spans="1:1" x14ac:dyDescent="0.3">
      <c r="A809" s="10"/>
    </row>
    <row r="810" spans="1:1" x14ac:dyDescent="0.3">
      <c r="A810" s="10"/>
    </row>
    <row r="811" spans="1:1" x14ac:dyDescent="0.3">
      <c r="A811" s="10"/>
    </row>
    <row r="812" spans="1:1" x14ac:dyDescent="0.3">
      <c r="A812" s="10"/>
    </row>
    <row r="813" spans="1:1" x14ac:dyDescent="0.3">
      <c r="A813" s="10"/>
    </row>
    <row r="814" spans="1:1" x14ac:dyDescent="0.3">
      <c r="A814" s="10"/>
    </row>
    <row r="815" spans="1:1" x14ac:dyDescent="0.3">
      <c r="A815" s="10"/>
    </row>
    <row r="816" spans="1:1" x14ac:dyDescent="0.3">
      <c r="A816" s="10"/>
    </row>
    <row r="817" spans="1:1" x14ac:dyDescent="0.3">
      <c r="A817" s="10"/>
    </row>
    <row r="818" spans="1:1" x14ac:dyDescent="0.3">
      <c r="A818" s="10"/>
    </row>
    <row r="819" spans="1:1" x14ac:dyDescent="0.3">
      <c r="A819" s="10"/>
    </row>
    <row r="820" spans="1:1" x14ac:dyDescent="0.3">
      <c r="A820" s="10"/>
    </row>
    <row r="821" spans="1:1" x14ac:dyDescent="0.3">
      <c r="A821" s="10"/>
    </row>
    <row r="822" spans="1:1" x14ac:dyDescent="0.3">
      <c r="A822" s="10"/>
    </row>
    <row r="823" spans="1:1" x14ac:dyDescent="0.3">
      <c r="A823" s="10"/>
    </row>
    <row r="824" spans="1:1" x14ac:dyDescent="0.3">
      <c r="A824" s="10"/>
    </row>
    <row r="825" spans="1:1" x14ac:dyDescent="0.3">
      <c r="A825" s="10"/>
    </row>
    <row r="826" spans="1:1" x14ac:dyDescent="0.3">
      <c r="A826" s="10"/>
    </row>
    <row r="827" spans="1:1" x14ac:dyDescent="0.3">
      <c r="A827" s="10"/>
    </row>
    <row r="828" spans="1:1" x14ac:dyDescent="0.3">
      <c r="A828" s="10"/>
    </row>
    <row r="829" spans="1:1" x14ac:dyDescent="0.3">
      <c r="A829" s="10"/>
    </row>
    <row r="830" spans="1:1" x14ac:dyDescent="0.3">
      <c r="A830" s="10"/>
    </row>
    <row r="831" spans="1:1" x14ac:dyDescent="0.3">
      <c r="A831" s="10"/>
    </row>
    <row r="832" spans="1:1" x14ac:dyDescent="0.3">
      <c r="A832" s="10"/>
    </row>
    <row r="833" spans="1:1" x14ac:dyDescent="0.3">
      <c r="A833" s="10"/>
    </row>
    <row r="834" spans="1:1" x14ac:dyDescent="0.3">
      <c r="A834" s="10"/>
    </row>
    <row r="835" spans="1:1" x14ac:dyDescent="0.3">
      <c r="A835" s="10"/>
    </row>
    <row r="836" spans="1:1" x14ac:dyDescent="0.3">
      <c r="A836" s="10"/>
    </row>
    <row r="837" spans="1:1" x14ac:dyDescent="0.3">
      <c r="A837" s="10"/>
    </row>
    <row r="838" spans="1:1" x14ac:dyDescent="0.3">
      <c r="A838" s="10"/>
    </row>
    <row r="839" spans="1:1" x14ac:dyDescent="0.3">
      <c r="A839" s="10"/>
    </row>
    <row r="840" spans="1:1" x14ac:dyDescent="0.3">
      <c r="A840" s="10"/>
    </row>
    <row r="841" spans="1:1" x14ac:dyDescent="0.3">
      <c r="A841" s="10"/>
    </row>
    <row r="842" spans="1:1" x14ac:dyDescent="0.3">
      <c r="A842" s="10"/>
    </row>
    <row r="843" spans="1:1" x14ac:dyDescent="0.3">
      <c r="A843" s="10"/>
    </row>
    <row r="844" spans="1:1" x14ac:dyDescent="0.3">
      <c r="A844" s="10"/>
    </row>
    <row r="845" spans="1:1" x14ac:dyDescent="0.3">
      <c r="A845" s="10"/>
    </row>
    <row r="846" spans="1:1" x14ac:dyDescent="0.3">
      <c r="A846" s="10"/>
    </row>
    <row r="847" spans="1:1" x14ac:dyDescent="0.3">
      <c r="A847" s="10"/>
    </row>
    <row r="848" spans="1:1" x14ac:dyDescent="0.3">
      <c r="A848" s="10"/>
    </row>
    <row r="849" spans="1:1" x14ac:dyDescent="0.3">
      <c r="A849" s="10"/>
    </row>
    <row r="850" spans="1:1" x14ac:dyDescent="0.3">
      <c r="A850" s="10"/>
    </row>
    <row r="851" spans="1:1" x14ac:dyDescent="0.3">
      <c r="A851" s="10"/>
    </row>
    <row r="852" spans="1:1" x14ac:dyDescent="0.3">
      <c r="A852" s="10"/>
    </row>
    <row r="853" spans="1:1" x14ac:dyDescent="0.3">
      <c r="A853" s="10"/>
    </row>
    <row r="854" spans="1:1" x14ac:dyDescent="0.3">
      <c r="A854" s="10"/>
    </row>
    <row r="855" spans="1:1" x14ac:dyDescent="0.3">
      <c r="A855" s="10"/>
    </row>
    <row r="856" spans="1:1" x14ac:dyDescent="0.3">
      <c r="A856" s="10"/>
    </row>
    <row r="857" spans="1:1" x14ac:dyDescent="0.3">
      <c r="A857" s="10"/>
    </row>
    <row r="858" spans="1:1" x14ac:dyDescent="0.3">
      <c r="A858" s="10"/>
    </row>
    <row r="859" spans="1:1" x14ac:dyDescent="0.3">
      <c r="A859" s="10"/>
    </row>
    <row r="860" spans="1:1" x14ac:dyDescent="0.3">
      <c r="A860" s="10"/>
    </row>
    <row r="861" spans="1:1" x14ac:dyDescent="0.3">
      <c r="A861" s="10"/>
    </row>
    <row r="862" spans="1:1" x14ac:dyDescent="0.3">
      <c r="A862" s="10"/>
    </row>
    <row r="863" spans="1:1" x14ac:dyDescent="0.3">
      <c r="A863" s="10"/>
    </row>
    <row r="864" spans="1:1" x14ac:dyDescent="0.3">
      <c r="A864" s="10"/>
    </row>
    <row r="865" spans="1:1" x14ac:dyDescent="0.3">
      <c r="A865" s="10"/>
    </row>
    <row r="866" spans="1:1" x14ac:dyDescent="0.3">
      <c r="A866" s="10"/>
    </row>
    <row r="867" spans="1:1" x14ac:dyDescent="0.3">
      <c r="A867" s="10"/>
    </row>
    <row r="868" spans="1:1" x14ac:dyDescent="0.3">
      <c r="A868" s="10"/>
    </row>
    <row r="869" spans="1:1" x14ac:dyDescent="0.3">
      <c r="A869" s="10"/>
    </row>
    <row r="870" spans="1:1" x14ac:dyDescent="0.3">
      <c r="A870" s="10"/>
    </row>
    <row r="871" spans="1:1" x14ac:dyDescent="0.3">
      <c r="A871" s="10"/>
    </row>
    <row r="872" spans="1:1" x14ac:dyDescent="0.3">
      <c r="A872" s="10"/>
    </row>
    <row r="873" spans="1:1" x14ac:dyDescent="0.3">
      <c r="A873" s="10"/>
    </row>
    <row r="874" spans="1:1" x14ac:dyDescent="0.3">
      <c r="A874" s="10"/>
    </row>
    <row r="875" spans="1:1" x14ac:dyDescent="0.3">
      <c r="A875" s="10"/>
    </row>
    <row r="876" spans="1:1" x14ac:dyDescent="0.3">
      <c r="A876" s="10"/>
    </row>
    <row r="877" spans="1:1" x14ac:dyDescent="0.3">
      <c r="A877" s="10"/>
    </row>
    <row r="878" spans="1:1" x14ac:dyDescent="0.3">
      <c r="A878" s="10"/>
    </row>
    <row r="879" spans="1:1" x14ac:dyDescent="0.3">
      <c r="A879" s="10"/>
    </row>
    <row r="880" spans="1:1" x14ac:dyDescent="0.3">
      <c r="A880" s="10"/>
    </row>
    <row r="881" spans="1:1" x14ac:dyDescent="0.3">
      <c r="A881" s="10"/>
    </row>
    <row r="882" spans="1:1" x14ac:dyDescent="0.3">
      <c r="A882" s="10"/>
    </row>
    <row r="883" spans="1:1" x14ac:dyDescent="0.3">
      <c r="A883" s="10"/>
    </row>
    <row r="884" spans="1:1" x14ac:dyDescent="0.3">
      <c r="A884" s="10"/>
    </row>
    <row r="885" spans="1:1" x14ac:dyDescent="0.3">
      <c r="A885" s="10"/>
    </row>
    <row r="886" spans="1:1" x14ac:dyDescent="0.3">
      <c r="A886" s="10"/>
    </row>
    <row r="887" spans="1:1" x14ac:dyDescent="0.3">
      <c r="A887" s="10"/>
    </row>
    <row r="888" spans="1:1" x14ac:dyDescent="0.3">
      <c r="A888" s="10"/>
    </row>
    <row r="889" spans="1:1" x14ac:dyDescent="0.3">
      <c r="A889" s="10"/>
    </row>
    <row r="890" spans="1:1" x14ac:dyDescent="0.3">
      <c r="A890" s="10"/>
    </row>
    <row r="891" spans="1:1" x14ac:dyDescent="0.3">
      <c r="A891" s="10"/>
    </row>
    <row r="892" spans="1:1" x14ac:dyDescent="0.3">
      <c r="A892" s="10"/>
    </row>
    <row r="893" spans="1:1" x14ac:dyDescent="0.3">
      <c r="A893" s="10"/>
    </row>
    <row r="894" spans="1:1" x14ac:dyDescent="0.3">
      <c r="A894" s="10"/>
    </row>
    <row r="895" spans="1:1" x14ac:dyDescent="0.3">
      <c r="A895" s="10"/>
    </row>
    <row r="896" spans="1:1" x14ac:dyDescent="0.3">
      <c r="A896" s="10"/>
    </row>
    <row r="897" spans="1:1" x14ac:dyDescent="0.3">
      <c r="A897" s="10"/>
    </row>
    <row r="898" spans="1:1" x14ac:dyDescent="0.3">
      <c r="A898" s="10"/>
    </row>
    <row r="899" spans="1:1" x14ac:dyDescent="0.3">
      <c r="A899" s="10"/>
    </row>
    <row r="900" spans="1:1" x14ac:dyDescent="0.3">
      <c r="A900" s="10"/>
    </row>
    <row r="901" spans="1:1" x14ac:dyDescent="0.3">
      <c r="A901" s="10"/>
    </row>
    <row r="902" spans="1:1" x14ac:dyDescent="0.3">
      <c r="A902" s="10"/>
    </row>
    <row r="903" spans="1:1" x14ac:dyDescent="0.3">
      <c r="A903" s="10"/>
    </row>
    <row r="904" spans="1:1" x14ac:dyDescent="0.3">
      <c r="A904" s="10"/>
    </row>
    <row r="905" spans="1:1" x14ac:dyDescent="0.3">
      <c r="A905" s="10"/>
    </row>
    <row r="906" spans="1:1" x14ac:dyDescent="0.3">
      <c r="A906" s="10"/>
    </row>
    <row r="907" spans="1:1" x14ac:dyDescent="0.3">
      <c r="A907" s="10"/>
    </row>
    <row r="908" spans="1:1" x14ac:dyDescent="0.3">
      <c r="A908" s="10"/>
    </row>
    <row r="909" spans="1:1" x14ac:dyDescent="0.3">
      <c r="A909" s="10"/>
    </row>
    <row r="910" spans="1:1" x14ac:dyDescent="0.3">
      <c r="A910" s="10"/>
    </row>
    <row r="911" spans="1:1" x14ac:dyDescent="0.3">
      <c r="A911" s="10"/>
    </row>
    <row r="912" spans="1:1" x14ac:dyDescent="0.3">
      <c r="A912" s="10"/>
    </row>
    <row r="913" spans="1:1" x14ac:dyDescent="0.3">
      <c r="A913" s="10"/>
    </row>
    <row r="914" spans="1:1" x14ac:dyDescent="0.3">
      <c r="A914" s="10"/>
    </row>
    <row r="915" spans="1:1" x14ac:dyDescent="0.3">
      <c r="A915" s="10"/>
    </row>
    <row r="916" spans="1:1" x14ac:dyDescent="0.3">
      <c r="A916" s="10"/>
    </row>
    <row r="917" spans="1:1" x14ac:dyDescent="0.3">
      <c r="A917" s="10"/>
    </row>
    <row r="918" spans="1:1" x14ac:dyDescent="0.3">
      <c r="A918" s="10"/>
    </row>
    <row r="919" spans="1:1" x14ac:dyDescent="0.3">
      <c r="A919" s="10"/>
    </row>
    <row r="920" spans="1:1" x14ac:dyDescent="0.3">
      <c r="A920" s="10"/>
    </row>
    <row r="921" spans="1:1" x14ac:dyDescent="0.3">
      <c r="A921" s="10"/>
    </row>
    <row r="922" spans="1:1" x14ac:dyDescent="0.3">
      <c r="A922" s="10"/>
    </row>
    <row r="923" spans="1:1" x14ac:dyDescent="0.3">
      <c r="A923" s="10"/>
    </row>
    <row r="924" spans="1:1" x14ac:dyDescent="0.3">
      <c r="A924" s="10"/>
    </row>
    <row r="925" spans="1:1" x14ac:dyDescent="0.3">
      <c r="A925" s="10"/>
    </row>
    <row r="926" spans="1:1" x14ac:dyDescent="0.3">
      <c r="A926" s="10"/>
    </row>
    <row r="927" spans="1:1" x14ac:dyDescent="0.3">
      <c r="A927" s="10"/>
    </row>
    <row r="928" spans="1:1" x14ac:dyDescent="0.3">
      <c r="A928" s="10"/>
    </row>
    <row r="929" spans="1:1" x14ac:dyDescent="0.3">
      <c r="A929" s="10"/>
    </row>
    <row r="930" spans="1:1" x14ac:dyDescent="0.3">
      <c r="A930" s="10"/>
    </row>
    <row r="931" spans="1:1" x14ac:dyDescent="0.3">
      <c r="A931" s="10"/>
    </row>
    <row r="932" spans="1:1" x14ac:dyDescent="0.3">
      <c r="A932" s="10"/>
    </row>
    <row r="933" spans="1:1" x14ac:dyDescent="0.3">
      <c r="A933" s="10"/>
    </row>
    <row r="934" spans="1:1" x14ac:dyDescent="0.3">
      <c r="A934" s="10"/>
    </row>
    <row r="935" spans="1:1" x14ac:dyDescent="0.3">
      <c r="A935" s="10"/>
    </row>
    <row r="936" spans="1:1" x14ac:dyDescent="0.3">
      <c r="A936" s="10"/>
    </row>
    <row r="937" spans="1:1" x14ac:dyDescent="0.3">
      <c r="A937" s="10"/>
    </row>
    <row r="938" spans="1:1" x14ac:dyDescent="0.3">
      <c r="A938" s="10"/>
    </row>
    <row r="939" spans="1:1" x14ac:dyDescent="0.3">
      <c r="A939" s="10"/>
    </row>
    <row r="940" spans="1:1" x14ac:dyDescent="0.3">
      <c r="A940" s="10"/>
    </row>
    <row r="941" spans="1:1" x14ac:dyDescent="0.3">
      <c r="A941" s="10"/>
    </row>
    <row r="942" spans="1:1" x14ac:dyDescent="0.3">
      <c r="A942" s="10"/>
    </row>
    <row r="943" spans="1:1" x14ac:dyDescent="0.3">
      <c r="A943" s="10"/>
    </row>
    <row r="944" spans="1:1" x14ac:dyDescent="0.3">
      <c r="A944" s="10"/>
    </row>
    <row r="945" spans="1:1" x14ac:dyDescent="0.3">
      <c r="A945" s="10"/>
    </row>
    <row r="946" spans="1:1" x14ac:dyDescent="0.3">
      <c r="A946" s="10"/>
    </row>
    <row r="947" spans="1:1" x14ac:dyDescent="0.3">
      <c r="A947" s="10"/>
    </row>
    <row r="948" spans="1:1" x14ac:dyDescent="0.3">
      <c r="A948" s="10"/>
    </row>
    <row r="949" spans="1:1" x14ac:dyDescent="0.3">
      <c r="A949" s="10"/>
    </row>
    <row r="950" spans="1:1" x14ac:dyDescent="0.3">
      <c r="A950" s="10"/>
    </row>
    <row r="951" spans="1:1" x14ac:dyDescent="0.3">
      <c r="A951" s="10"/>
    </row>
    <row r="952" spans="1:1" x14ac:dyDescent="0.3">
      <c r="A952" s="10"/>
    </row>
    <row r="953" spans="1:1" x14ac:dyDescent="0.3">
      <c r="A953" s="10"/>
    </row>
    <row r="954" spans="1:1" x14ac:dyDescent="0.3">
      <c r="A954" s="10"/>
    </row>
    <row r="955" spans="1:1" x14ac:dyDescent="0.3">
      <c r="A955" s="10"/>
    </row>
    <row r="956" spans="1:1" x14ac:dyDescent="0.3">
      <c r="A956" s="10"/>
    </row>
    <row r="957" spans="1:1" x14ac:dyDescent="0.3">
      <c r="A957" s="10"/>
    </row>
    <row r="958" spans="1:1" x14ac:dyDescent="0.3">
      <c r="A958" s="10"/>
    </row>
    <row r="959" spans="1:1" x14ac:dyDescent="0.3">
      <c r="A959" s="10"/>
    </row>
    <row r="960" spans="1:1" x14ac:dyDescent="0.3">
      <c r="A960" s="10"/>
    </row>
    <row r="961" spans="1:1" x14ac:dyDescent="0.3">
      <c r="A961" s="10"/>
    </row>
    <row r="962" spans="1:1" x14ac:dyDescent="0.3">
      <c r="A962" s="10"/>
    </row>
    <row r="963" spans="1:1" x14ac:dyDescent="0.3">
      <c r="A963" s="10"/>
    </row>
    <row r="964" spans="1:1" x14ac:dyDescent="0.3">
      <c r="A964" s="10"/>
    </row>
    <row r="965" spans="1:1" x14ac:dyDescent="0.3">
      <c r="A965" s="10"/>
    </row>
    <row r="966" spans="1:1" x14ac:dyDescent="0.3">
      <c r="A966" s="10"/>
    </row>
    <row r="967" spans="1:1" x14ac:dyDescent="0.3">
      <c r="A967" s="10"/>
    </row>
    <row r="968" spans="1:1" x14ac:dyDescent="0.3">
      <c r="A968" s="10"/>
    </row>
    <row r="969" spans="1:1" x14ac:dyDescent="0.3">
      <c r="A969" s="10"/>
    </row>
    <row r="970" spans="1:1" x14ac:dyDescent="0.3">
      <c r="A970" s="10"/>
    </row>
    <row r="971" spans="1:1" x14ac:dyDescent="0.3">
      <c r="A971" s="10"/>
    </row>
    <row r="972" spans="1:1" x14ac:dyDescent="0.3">
      <c r="A972" s="10"/>
    </row>
    <row r="973" spans="1:1" x14ac:dyDescent="0.3">
      <c r="A973" s="10"/>
    </row>
    <row r="974" spans="1:1" x14ac:dyDescent="0.3">
      <c r="A974" s="10"/>
    </row>
    <row r="975" spans="1:1" x14ac:dyDescent="0.3">
      <c r="A975" s="10"/>
    </row>
    <row r="976" spans="1:1" x14ac:dyDescent="0.3">
      <c r="A976" s="10"/>
    </row>
    <row r="977" spans="1:1" x14ac:dyDescent="0.3">
      <c r="A977" s="10"/>
    </row>
    <row r="978" spans="1:1" x14ac:dyDescent="0.3">
      <c r="A978" s="10"/>
    </row>
    <row r="979" spans="1:1" x14ac:dyDescent="0.3">
      <c r="A979" s="10"/>
    </row>
    <row r="980" spans="1:1" x14ac:dyDescent="0.3">
      <c r="A980" s="10"/>
    </row>
    <row r="981" spans="1:1" x14ac:dyDescent="0.3">
      <c r="A981" s="10"/>
    </row>
    <row r="982" spans="1:1" x14ac:dyDescent="0.3">
      <c r="A982" s="10"/>
    </row>
    <row r="983" spans="1:1" x14ac:dyDescent="0.3">
      <c r="A983" s="10"/>
    </row>
    <row r="984" spans="1:1" x14ac:dyDescent="0.3">
      <c r="A984" s="10"/>
    </row>
    <row r="985" spans="1:1" x14ac:dyDescent="0.3">
      <c r="A985" s="10"/>
    </row>
    <row r="986" spans="1:1" x14ac:dyDescent="0.3">
      <c r="A986" s="10"/>
    </row>
    <row r="987" spans="1:1" x14ac:dyDescent="0.3">
      <c r="A987" s="10"/>
    </row>
    <row r="988" spans="1:1" x14ac:dyDescent="0.3">
      <c r="A988" s="10"/>
    </row>
    <row r="989" spans="1:1" x14ac:dyDescent="0.3">
      <c r="A989" s="10"/>
    </row>
    <row r="990" spans="1:1" x14ac:dyDescent="0.3">
      <c r="A990" s="10"/>
    </row>
    <row r="991" spans="1:1" x14ac:dyDescent="0.3">
      <c r="A991" s="10"/>
    </row>
    <row r="992" spans="1:1" x14ac:dyDescent="0.3">
      <c r="A992" s="10"/>
    </row>
    <row r="993" spans="1:1" x14ac:dyDescent="0.3">
      <c r="A993" s="10"/>
    </row>
    <row r="994" spans="1:1" x14ac:dyDescent="0.3">
      <c r="A994" s="10"/>
    </row>
    <row r="995" spans="1:1" x14ac:dyDescent="0.3">
      <c r="A995" s="10"/>
    </row>
    <row r="996" spans="1:1" x14ac:dyDescent="0.3">
      <c r="A996" s="10"/>
    </row>
    <row r="997" spans="1:1" x14ac:dyDescent="0.3">
      <c r="A997" s="10"/>
    </row>
    <row r="998" spans="1:1" x14ac:dyDescent="0.3">
      <c r="A998" s="10"/>
    </row>
    <row r="999" spans="1:1" x14ac:dyDescent="0.3">
      <c r="A999" s="10"/>
    </row>
    <row r="1000" spans="1:1" x14ac:dyDescent="0.3">
      <c r="A1000" s="10"/>
    </row>
    <row r="1001" spans="1:1" x14ac:dyDescent="0.3">
      <c r="A1001" s="10"/>
    </row>
    <row r="1002" spans="1:1" x14ac:dyDescent="0.3">
      <c r="A1002" s="10"/>
    </row>
    <row r="1003" spans="1:1" x14ac:dyDescent="0.3">
      <c r="A1003" s="10"/>
    </row>
    <row r="1004" spans="1:1" x14ac:dyDescent="0.3">
      <c r="A1004" s="10"/>
    </row>
    <row r="1005" spans="1:1" x14ac:dyDescent="0.3">
      <c r="A1005" s="10"/>
    </row>
    <row r="1006" spans="1:1" x14ac:dyDescent="0.3">
      <c r="A1006" s="10"/>
    </row>
    <row r="1007" spans="1:1" x14ac:dyDescent="0.3">
      <c r="A1007" s="10"/>
    </row>
    <row r="1008" spans="1:1" x14ac:dyDescent="0.3">
      <c r="A1008" s="10"/>
    </row>
    <row r="1009" spans="1:1" x14ac:dyDescent="0.3">
      <c r="A1009" s="10"/>
    </row>
    <row r="1010" spans="1:1" x14ac:dyDescent="0.3">
      <c r="A1010" s="10"/>
    </row>
    <row r="1011" spans="1:1" x14ac:dyDescent="0.3">
      <c r="A1011" s="10"/>
    </row>
    <row r="1012" spans="1:1" x14ac:dyDescent="0.3">
      <c r="A1012" s="10"/>
    </row>
    <row r="1013" spans="1:1" x14ac:dyDescent="0.3">
      <c r="A1013" s="10"/>
    </row>
    <row r="1014" spans="1:1" x14ac:dyDescent="0.3">
      <c r="A1014" s="10"/>
    </row>
    <row r="1015" spans="1:1" x14ac:dyDescent="0.3">
      <c r="A1015" s="10"/>
    </row>
    <row r="1016" spans="1:1" x14ac:dyDescent="0.3">
      <c r="A1016" s="10"/>
    </row>
    <row r="1017" spans="1:1" x14ac:dyDescent="0.3">
      <c r="A1017" s="10"/>
    </row>
    <row r="1018" spans="1:1" x14ac:dyDescent="0.3">
      <c r="A1018" s="10"/>
    </row>
    <row r="1019" spans="1:1" x14ac:dyDescent="0.3">
      <c r="A1019" s="10"/>
    </row>
    <row r="1020" spans="1:1" x14ac:dyDescent="0.3">
      <c r="A1020" s="10"/>
    </row>
    <row r="1021" spans="1:1" x14ac:dyDescent="0.3">
      <c r="A1021" s="10"/>
    </row>
    <row r="1022" spans="1:1" x14ac:dyDescent="0.3">
      <c r="A1022" s="10"/>
    </row>
    <row r="1023" spans="1:1" x14ac:dyDescent="0.3">
      <c r="A1023" s="10"/>
    </row>
    <row r="1024" spans="1:1" x14ac:dyDescent="0.3">
      <c r="A1024" s="10"/>
    </row>
    <row r="1025" spans="1:1" x14ac:dyDescent="0.3">
      <c r="A1025" s="10"/>
    </row>
    <row r="1026" spans="1:1" x14ac:dyDescent="0.3">
      <c r="A1026" s="10"/>
    </row>
    <row r="1027" spans="1:1" x14ac:dyDescent="0.3">
      <c r="A1027" s="10"/>
    </row>
    <row r="1028" spans="1:1" x14ac:dyDescent="0.3">
      <c r="A1028" s="10"/>
    </row>
    <row r="1029" spans="1:1" x14ac:dyDescent="0.3">
      <c r="A1029" s="10"/>
    </row>
    <row r="1030" spans="1:1" x14ac:dyDescent="0.3">
      <c r="A1030" s="10"/>
    </row>
    <row r="1031" spans="1:1" x14ac:dyDescent="0.3">
      <c r="A1031" s="10"/>
    </row>
    <row r="1032" spans="1:1" x14ac:dyDescent="0.3">
      <c r="A1032" s="10"/>
    </row>
    <row r="1033" spans="1:1" x14ac:dyDescent="0.3">
      <c r="A1033" s="10"/>
    </row>
    <row r="1034" spans="1:1" x14ac:dyDescent="0.3">
      <c r="A1034" s="10"/>
    </row>
    <row r="1035" spans="1:1" x14ac:dyDescent="0.3">
      <c r="A1035" s="10"/>
    </row>
    <row r="1036" spans="1:1" x14ac:dyDescent="0.3">
      <c r="A1036" s="10"/>
    </row>
    <row r="1037" spans="1:1" x14ac:dyDescent="0.3">
      <c r="A1037" s="10"/>
    </row>
    <row r="1038" spans="1:1" x14ac:dyDescent="0.3">
      <c r="A1038" s="10"/>
    </row>
    <row r="1039" spans="1:1" x14ac:dyDescent="0.3">
      <c r="A1039" s="10"/>
    </row>
    <row r="1040" spans="1:1" x14ac:dyDescent="0.3">
      <c r="A1040" s="10"/>
    </row>
    <row r="1041" spans="1:1" x14ac:dyDescent="0.3">
      <c r="A1041" s="10"/>
    </row>
    <row r="1042" spans="1:1" x14ac:dyDescent="0.3">
      <c r="A1042" s="10"/>
    </row>
    <row r="1043" spans="1:1" x14ac:dyDescent="0.3">
      <c r="A1043" s="10"/>
    </row>
    <row r="1044" spans="1:1" x14ac:dyDescent="0.3">
      <c r="A1044" s="10"/>
    </row>
    <row r="1045" spans="1:1" x14ac:dyDescent="0.3">
      <c r="A1045" s="10"/>
    </row>
    <row r="1046" spans="1:1" x14ac:dyDescent="0.3">
      <c r="A1046" s="10"/>
    </row>
    <row r="1047" spans="1:1" x14ac:dyDescent="0.3">
      <c r="A1047" s="10"/>
    </row>
    <row r="1048" spans="1:1" x14ac:dyDescent="0.3">
      <c r="A1048" s="10"/>
    </row>
    <row r="1049" spans="1:1" x14ac:dyDescent="0.3">
      <c r="A1049" s="10"/>
    </row>
    <row r="1050" spans="1:1" x14ac:dyDescent="0.3">
      <c r="A1050" s="10"/>
    </row>
    <row r="1051" spans="1:1" x14ac:dyDescent="0.3">
      <c r="A1051" s="10"/>
    </row>
    <row r="1052" spans="1:1" x14ac:dyDescent="0.3">
      <c r="A1052" s="10"/>
    </row>
    <row r="1053" spans="1:1" x14ac:dyDescent="0.3">
      <c r="A1053" s="10"/>
    </row>
    <row r="1054" spans="1:1" x14ac:dyDescent="0.3">
      <c r="A1054" s="10"/>
    </row>
    <row r="1055" spans="1:1" x14ac:dyDescent="0.3">
      <c r="A1055" s="10"/>
    </row>
    <row r="1056" spans="1:1" x14ac:dyDescent="0.3">
      <c r="A1056" s="10"/>
    </row>
    <row r="1057" spans="1:1" x14ac:dyDescent="0.3">
      <c r="A1057" s="10"/>
    </row>
    <row r="1058" spans="1:1" x14ac:dyDescent="0.3">
      <c r="A1058" s="10"/>
    </row>
    <row r="1059" spans="1:1" x14ac:dyDescent="0.3">
      <c r="A1059" s="10"/>
    </row>
    <row r="1060" spans="1:1" x14ac:dyDescent="0.3">
      <c r="A1060" s="10"/>
    </row>
    <row r="1061" spans="1:1" x14ac:dyDescent="0.3">
      <c r="A1061" s="10"/>
    </row>
    <row r="1062" spans="1:1" x14ac:dyDescent="0.3">
      <c r="A1062" s="10"/>
    </row>
    <row r="1063" spans="1:1" x14ac:dyDescent="0.3">
      <c r="A1063" s="10"/>
    </row>
    <row r="1064" spans="1:1" x14ac:dyDescent="0.3">
      <c r="A1064" s="10"/>
    </row>
    <row r="1065" spans="1:1" x14ac:dyDescent="0.3">
      <c r="A1065" s="10"/>
    </row>
    <row r="1066" spans="1:1" x14ac:dyDescent="0.3">
      <c r="A1066" s="10"/>
    </row>
    <row r="1067" spans="1:1" x14ac:dyDescent="0.3">
      <c r="A1067" s="10"/>
    </row>
    <row r="1068" spans="1:1" x14ac:dyDescent="0.3">
      <c r="A1068" s="10"/>
    </row>
    <row r="1069" spans="1:1" x14ac:dyDescent="0.3">
      <c r="A1069" s="10"/>
    </row>
    <row r="1070" spans="1:1" x14ac:dyDescent="0.3">
      <c r="A1070" s="10"/>
    </row>
    <row r="1071" spans="1:1" x14ac:dyDescent="0.3">
      <c r="A1071" s="10"/>
    </row>
    <row r="1072" spans="1:1" x14ac:dyDescent="0.3">
      <c r="A1072" s="10"/>
    </row>
    <row r="1073" spans="1:1" x14ac:dyDescent="0.3">
      <c r="A1073" s="10"/>
    </row>
    <row r="1074" spans="1:1" x14ac:dyDescent="0.3">
      <c r="A1074" s="10"/>
    </row>
    <row r="1075" spans="1:1" x14ac:dyDescent="0.3">
      <c r="A1075" s="10"/>
    </row>
    <row r="1076" spans="1:1" x14ac:dyDescent="0.3">
      <c r="A1076" s="10"/>
    </row>
    <row r="1077" spans="1:1" x14ac:dyDescent="0.3">
      <c r="A1077" s="10"/>
    </row>
    <row r="1078" spans="1:1" x14ac:dyDescent="0.3">
      <c r="A1078" s="10"/>
    </row>
    <row r="1079" spans="1:1" x14ac:dyDescent="0.3">
      <c r="A1079" s="10"/>
    </row>
    <row r="1080" spans="1:1" x14ac:dyDescent="0.3">
      <c r="A1080" s="10"/>
    </row>
    <row r="1081" spans="1:1" x14ac:dyDescent="0.3">
      <c r="A1081" s="10"/>
    </row>
    <row r="1082" spans="1:1" x14ac:dyDescent="0.3">
      <c r="A1082" s="10"/>
    </row>
    <row r="1083" spans="1:1" x14ac:dyDescent="0.3">
      <c r="A1083" s="10"/>
    </row>
    <row r="1084" spans="1:1" x14ac:dyDescent="0.3">
      <c r="A1084" s="10"/>
    </row>
    <row r="1085" spans="1:1" x14ac:dyDescent="0.3">
      <c r="A1085" s="10"/>
    </row>
    <row r="1086" spans="1:1" x14ac:dyDescent="0.3">
      <c r="A1086" s="10"/>
    </row>
    <row r="1087" spans="1:1" x14ac:dyDescent="0.3">
      <c r="A1087" s="10"/>
    </row>
    <row r="1088" spans="1:1" x14ac:dyDescent="0.3">
      <c r="A1088" s="10"/>
    </row>
    <row r="1089" spans="1:1" x14ac:dyDescent="0.3">
      <c r="A1089" s="10"/>
    </row>
    <row r="1090" spans="1:1" x14ac:dyDescent="0.3">
      <c r="A1090" s="10"/>
    </row>
    <row r="1091" spans="1:1" x14ac:dyDescent="0.3">
      <c r="A1091" s="10"/>
    </row>
    <row r="1092" spans="1:1" x14ac:dyDescent="0.3">
      <c r="A1092" s="10"/>
    </row>
    <row r="1093" spans="1:1" x14ac:dyDescent="0.3">
      <c r="A1093" s="10"/>
    </row>
    <row r="1094" spans="1:1" x14ac:dyDescent="0.3">
      <c r="A1094" s="10"/>
    </row>
    <row r="1095" spans="1:1" x14ac:dyDescent="0.3">
      <c r="A1095" s="10"/>
    </row>
    <row r="1096" spans="1:1" x14ac:dyDescent="0.3">
      <c r="A1096" s="10"/>
    </row>
    <row r="1097" spans="1:1" x14ac:dyDescent="0.3">
      <c r="A1097" s="10"/>
    </row>
    <row r="1098" spans="1:1" x14ac:dyDescent="0.3">
      <c r="A1098" s="10"/>
    </row>
    <row r="1099" spans="1:1" x14ac:dyDescent="0.3">
      <c r="A1099" s="10"/>
    </row>
    <row r="1100" spans="1:1" x14ac:dyDescent="0.3">
      <c r="A1100" s="10"/>
    </row>
    <row r="1101" spans="1:1" x14ac:dyDescent="0.3">
      <c r="A1101" s="10"/>
    </row>
    <row r="1102" spans="1:1" x14ac:dyDescent="0.3">
      <c r="A1102" s="10"/>
    </row>
    <row r="1103" spans="1:1" x14ac:dyDescent="0.3">
      <c r="A1103" s="10"/>
    </row>
    <row r="1104" spans="1:1" x14ac:dyDescent="0.3">
      <c r="A1104" s="10"/>
    </row>
    <row r="1105" spans="1:1" x14ac:dyDescent="0.3">
      <c r="A1105" s="10"/>
    </row>
    <row r="1106" spans="1:1" x14ac:dyDescent="0.3">
      <c r="A1106" s="10"/>
    </row>
    <row r="1107" spans="1:1" x14ac:dyDescent="0.3">
      <c r="A1107" s="10"/>
    </row>
    <row r="1108" spans="1:1" x14ac:dyDescent="0.3">
      <c r="A1108" s="10"/>
    </row>
    <row r="1109" spans="1:1" x14ac:dyDescent="0.3">
      <c r="A1109" s="10"/>
    </row>
    <row r="1110" spans="1:1" x14ac:dyDescent="0.3">
      <c r="A1110" s="10"/>
    </row>
    <row r="1111" spans="1:1" x14ac:dyDescent="0.3">
      <c r="A1111" s="10"/>
    </row>
    <row r="1112" spans="1:1" x14ac:dyDescent="0.3">
      <c r="A1112" s="10"/>
    </row>
    <row r="1113" spans="1:1" x14ac:dyDescent="0.3">
      <c r="A1113" s="10"/>
    </row>
    <row r="1114" spans="1:1" x14ac:dyDescent="0.3">
      <c r="A1114" s="10"/>
    </row>
    <row r="1115" spans="1:1" x14ac:dyDescent="0.3">
      <c r="A1115" s="10"/>
    </row>
    <row r="1116" spans="1:1" x14ac:dyDescent="0.3">
      <c r="A1116" s="10"/>
    </row>
    <row r="1117" spans="1:1" x14ac:dyDescent="0.3">
      <c r="A1117" s="10"/>
    </row>
    <row r="1118" spans="1:1" x14ac:dyDescent="0.3">
      <c r="A1118" s="10"/>
    </row>
    <row r="1119" spans="1:1" x14ac:dyDescent="0.3">
      <c r="A1119" s="10"/>
    </row>
    <row r="1120" spans="1:1" x14ac:dyDescent="0.3">
      <c r="A1120" s="10"/>
    </row>
    <row r="1121" spans="1:1" x14ac:dyDescent="0.3">
      <c r="A1121" s="10"/>
    </row>
    <row r="1122" spans="1:1" x14ac:dyDescent="0.3">
      <c r="A1122" s="10"/>
    </row>
    <row r="1123" spans="1:1" x14ac:dyDescent="0.3">
      <c r="A1123" s="10"/>
    </row>
    <row r="1124" spans="1:1" x14ac:dyDescent="0.3">
      <c r="A1124" s="10"/>
    </row>
    <row r="1125" spans="1:1" x14ac:dyDescent="0.3">
      <c r="A1125" s="10"/>
    </row>
    <row r="1126" spans="1:1" x14ac:dyDescent="0.3">
      <c r="A1126" s="10"/>
    </row>
    <row r="1127" spans="1:1" x14ac:dyDescent="0.3">
      <c r="A1127" s="10"/>
    </row>
    <row r="1128" spans="1:1" x14ac:dyDescent="0.3">
      <c r="A1128" s="10"/>
    </row>
    <row r="1129" spans="1:1" x14ac:dyDescent="0.3">
      <c r="A1129" s="10"/>
    </row>
    <row r="1130" spans="1:1" x14ac:dyDescent="0.3">
      <c r="A1130" s="10"/>
    </row>
    <row r="1131" spans="1:1" x14ac:dyDescent="0.3">
      <c r="A1131" s="10"/>
    </row>
    <row r="1132" spans="1:1" x14ac:dyDescent="0.3">
      <c r="A1132" s="10"/>
    </row>
    <row r="1133" spans="1:1" x14ac:dyDescent="0.3">
      <c r="A1133" s="10"/>
    </row>
    <row r="1134" spans="1:1" x14ac:dyDescent="0.3">
      <c r="A1134" s="10"/>
    </row>
    <row r="1135" spans="1:1" x14ac:dyDescent="0.3">
      <c r="A1135" s="10"/>
    </row>
    <row r="1136" spans="1:1" x14ac:dyDescent="0.3">
      <c r="A1136" s="10"/>
    </row>
    <row r="1137" spans="1:1" x14ac:dyDescent="0.3">
      <c r="A1137" s="10"/>
    </row>
    <row r="1138" spans="1:1" x14ac:dyDescent="0.3">
      <c r="A1138" s="10"/>
    </row>
    <row r="1139" spans="1:1" x14ac:dyDescent="0.3">
      <c r="A1139" s="10"/>
    </row>
    <row r="1140" spans="1:1" x14ac:dyDescent="0.3">
      <c r="A1140" s="10"/>
    </row>
    <row r="1141" spans="1:1" x14ac:dyDescent="0.3">
      <c r="A1141" s="10"/>
    </row>
    <row r="1142" spans="1:1" x14ac:dyDescent="0.3">
      <c r="A1142" s="10"/>
    </row>
    <row r="1143" spans="1:1" x14ac:dyDescent="0.3">
      <c r="A1143" s="10"/>
    </row>
    <row r="1144" spans="1:1" x14ac:dyDescent="0.3">
      <c r="A1144" s="10"/>
    </row>
    <row r="1145" spans="1:1" x14ac:dyDescent="0.3">
      <c r="A1145" s="10"/>
    </row>
    <row r="1146" spans="1:1" x14ac:dyDescent="0.3">
      <c r="A1146" s="10"/>
    </row>
    <row r="1147" spans="1:1" x14ac:dyDescent="0.3">
      <c r="A1147" s="10"/>
    </row>
    <row r="1148" spans="1:1" x14ac:dyDescent="0.3">
      <c r="A1148" s="10"/>
    </row>
    <row r="1149" spans="1:1" x14ac:dyDescent="0.3">
      <c r="A1149" s="10"/>
    </row>
    <row r="1150" spans="1:1" x14ac:dyDescent="0.3">
      <c r="A1150" s="10"/>
    </row>
    <row r="1151" spans="1:1" x14ac:dyDescent="0.3">
      <c r="A1151" s="10"/>
    </row>
    <row r="1152" spans="1:1" x14ac:dyDescent="0.3">
      <c r="A1152" s="10"/>
    </row>
    <row r="1153" spans="1:1" x14ac:dyDescent="0.3">
      <c r="A1153" s="10"/>
    </row>
    <row r="1154" spans="1:1" x14ac:dyDescent="0.3">
      <c r="A1154" s="10"/>
    </row>
    <row r="1155" spans="1:1" x14ac:dyDescent="0.3">
      <c r="A1155" s="10"/>
    </row>
    <row r="1156" spans="1:1" x14ac:dyDescent="0.3">
      <c r="A1156" s="10"/>
    </row>
    <row r="1157" spans="1:1" x14ac:dyDescent="0.3">
      <c r="A1157" s="10"/>
    </row>
    <row r="1158" spans="1:1" x14ac:dyDescent="0.3">
      <c r="A1158" s="10"/>
    </row>
    <row r="1159" spans="1:1" x14ac:dyDescent="0.3">
      <c r="A1159" s="10"/>
    </row>
    <row r="1160" spans="1:1" x14ac:dyDescent="0.3">
      <c r="A1160" s="10"/>
    </row>
    <row r="1161" spans="1:1" x14ac:dyDescent="0.3">
      <c r="A1161" s="10"/>
    </row>
    <row r="1162" spans="1:1" x14ac:dyDescent="0.3">
      <c r="A1162" s="10"/>
    </row>
    <row r="1163" spans="1:1" x14ac:dyDescent="0.3">
      <c r="A1163" s="10"/>
    </row>
    <row r="1164" spans="1:1" x14ac:dyDescent="0.3">
      <c r="A1164" s="10"/>
    </row>
    <row r="1165" spans="1:1" x14ac:dyDescent="0.3">
      <c r="A1165" s="10"/>
    </row>
    <row r="1166" spans="1:1" x14ac:dyDescent="0.3">
      <c r="A1166" s="10"/>
    </row>
    <row r="1167" spans="1:1" x14ac:dyDescent="0.3">
      <c r="A1167" s="10"/>
    </row>
    <row r="1168" spans="1:1" x14ac:dyDescent="0.3">
      <c r="A1168" s="10"/>
    </row>
    <row r="1169" spans="1:1" x14ac:dyDescent="0.3">
      <c r="A1169" s="10"/>
    </row>
    <row r="1170" spans="1:1" x14ac:dyDescent="0.3">
      <c r="A1170" s="10"/>
    </row>
    <row r="1171" spans="1:1" x14ac:dyDescent="0.3">
      <c r="A1171" s="10"/>
    </row>
    <row r="1172" spans="1:1" x14ac:dyDescent="0.3">
      <c r="A1172" s="10"/>
    </row>
    <row r="1173" spans="1:1" x14ac:dyDescent="0.3">
      <c r="A1173" s="10"/>
    </row>
    <row r="1174" spans="1:1" x14ac:dyDescent="0.3">
      <c r="A1174" s="10"/>
    </row>
    <row r="1175" spans="1:1" x14ac:dyDescent="0.3">
      <c r="A1175" s="10"/>
    </row>
    <row r="1176" spans="1:1" x14ac:dyDescent="0.3">
      <c r="A1176" s="10"/>
    </row>
    <row r="1177" spans="1:1" x14ac:dyDescent="0.3">
      <c r="A1177" s="10"/>
    </row>
    <row r="1178" spans="1:1" x14ac:dyDescent="0.3">
      <c r="A1178" s="10"/>
    </row>
    <row r="1179" spans="1:1" x14ac:dyDescent="0.3">
      <c r="A1179" s="10"/>
    </row>
    <row r="1180" spans="1:1" x14ac:dyDescent="0.3">
      <c r="A1180" s="10"/>
    </row>
    <row r="1181" spans="1:1" x14ac:dyDescent="0.3">
      <c r="A1181" s="10"/>
    </row>
    <row r="1182" spans="1:1" x14ac:dyDescent="0.3">
      <c r="A1182" s="10"/>
    </row>
    <row r="1183" spans="1:1" x14ac:dyDescent="0.3">
      <c r="A1183" s="10"/>
    </row>
    <row r="1184" spans="1:1" x14ac:dyDescent="0.3">
      <c r="A1184" s="10"/>
    </row>
    <row r="1185" spans="1:1" x14ac:dyDescent="0.3">
      <c r="A1185" s="10"/>
    </row>
    <row r="1186" spans="1:1" x14ac:dyDescent="0.3">
      <c r="A1186" s="10"/>
    </row>
    <row r="1187" spans="1:1" x14ac:dyDescent="0.3">
      <c r="A1187" s="10"/>
    </row>
    <row r="1188" spans="1:1" x14ac:dyDescent="0.3">
      <c r="A1188" s="10"/>
    </row>
    <row r="1189" spans="1:1" x14ac:dyDescent="0.3">
      <c r="A1189" s="10"/>
    </row>
    <row r="1190" spans="1:1" x14ac:dyDescent="0.3">
      <c r="A1190" s="10"/>
    </row>
    <row r="1191" spans="1:1" x14ac:dyDescent="0.3">
      <c r="A1191" s="10"/>
    </row>
    <row r="1192" spans="1:1" x14ac:dyDescent="0.3">
      <c r="A1192" s="10"/>
    </row>
    <row r="1193" spans="1:1" x14ac:dyDescent="0.3">
      <c r="A1193" s="10"/>
    </row>
    <row r="1194" spans="1:1" x14ac:dyDescent="0.3">
      <c r="A1194" s="10"/>
    </row>
    <row r="1195" spans="1:1" x14ac:dyDescent="0.3">
      <c r="A1195" s="10"/>
    </row>
    <row r="1196" spans="1:1" x14ac:dyDescent="0.3">
      <c r="A1196" s="10"/>
    </row>
    <row r="1197" spans="1:1" x14ac:dyDescent="0.3">
      <c r="A1197" s="10"/>
    </row>
    <row r="1198" spans="1:1" x14ac:dyDescent="0.3">
      <c r="A1198" s="10"/>
    </row>
    <row r="1199" spans="1:1" x14ac:dyDescent="0.3">
      <c r="A1199" s="10"/>
    </row>
    <row r="1200" spans="1:1" x14ac:dyDescent="0.3">
      <c r="A1200" s="10"/>
    </row>
    <row r="1201" spans="1:1" x14ac:dyDescent="0.3">
      <c r="A1201" s="10"/>
    </row>
    <row r="1202" spans="1:1" x14ac:dyDescent="0.3">
      <c r="A1202" s="10"/>
    </row>
    <row r="1203" spans="1:1" x14ac:dyDescent="0.3">
      <c r="A1203" s="10"/>
    </row>
    <row r="1204" spans="1:1" x14ac:dyDescent="0.3">
      <c r="A1204" s="10"/>
    </row>
    <row r="1205" spans="1:1" x14ac:dyDescent="0.3">
      <c r="A1205" s="10"/>
    </row>
    <row r="1206" spans="1:1" x14ac:dyDescent="0.3">
      <c r="A1206" s="10"/>
    </row>
    <row r="1207" spans="1:1" x14ac:dyDescent="0.3">
      <c r="A1207" s="10"/>
    </row>
    <row r="1208" spans="1:1" x14ac:dyDescent="0.3">
      <c r="A1208" s="10"/>
    </row>
    <row r="1209" spans="1:1" x14ac:dyDescent="0.3">
      <c r="A1209" s="10"/>
    </row>
    <row r="1210" spans="1:1" x14ac:dyDescent="0.3">
      <c r="A1210" s="10"/>
    </row>
    <row r="1211" spans="1:1" x14ac:dyDescent="0.3">
      <c r="A1211" s="10"/>
    </row>
    <row r="1212" spans="1:1" x14ac:dyDescent="0.3">
      <c r="A1212" s="10"/>
    </row>
    <row r="1213" spans="1:1" x14ac:dyDescent="0.3">
      <c r="A1213" s="10"/>
    </row>
    <row r="1214" spans="1:1" x14ac:dyDescent="0.3">
      <c r="A1214" s="10"/>
    </row>
    <row r="1215" spans="1:1" x14ac:dyDescent="0.3">
      <c r="A1215" s="10"/>
    </row>
    <row r="1216" spans="1:1" x14ac:dyDescent="0.3">
      <c r="A1216" s="10"/>
    </row>
    <row r="1217" spans="1:1" x14ac:dyDescent="0.3">
      <c r="A1217" s="10"/>
    </row>
    <row r="1218" spans="1:1" x14ac:dyDescent="0.3">
      <c r="A1218" s="10"/>
    </row>
    <row r="1219" spans="1:1" x14ac:dyDescent="0.3">
      <c r="A1219" s="10"/>
    </row>
    <row r="1220" spans="1:1" x14ac:dyDescent="0.3">
      <c r="A1220" s="10"/>
    </row>
    <row r="1221" spans="1:1" x14ac:dyDescent="0.3">
      <c r="A1221" s="10"/>
    </row>
    <row r="1222" spans="1:1" x14ac:dyDescent="0.3">
      <c r="A1222" s="10"/>
    </row>
    <row r="1223" spans="1:1" x14ac:dyDescent="0.3">
      <c r="A1223" s="10"/>
    </row>
    <row r="1224" spans="1:1" x14ac:dyDescent="0.3">
      <c r="A1224" s="10"/>
    </row>
    <row r="1225" spans="1:1" x14ac:dyDescent="0.3">
      <c r="A1225" s="10"/>
    </row>
    <row r="1226" spans="1:1" x14ac:dyDescent="0.3">
      <c r="A1226" s="10"/>
    </row>
    <row r="1227" spans="1:1" x14ac:dyDescent="0.3">
      <c r="A1227" s="10"/>
    </row>
    <row r="1228" spans="1:1" x14ac:dyDescent="0.3">
      <c r="A1228" s="10"/>
    </row>
    <row r="1229" spans="1:1" x14ac:dyDescent="0.3">
      <c r="A1229" s="10"/>
    </row>
    <row r="1230" spans="1:1" x14ac:dyDescent="0.3">
      <c r="A1230" s="10"/>
    </row>
    <row r="1231" spans="1:1" x14ac:dyDescent="0.3">
      <c r="A1231" s="10"/>
    </row>
    <row r="1232" spans="1:1" x14ac:dyDescent="0.3">
      <c r="A1232" s="10"/>
    </row>
    <row r="1233" spans="1:1" x14ac:dyDescent="0.3">
      <c r="A1233" s="10"/>
    </row>
    <row r="1234" spans="1:1" x14ac:dyDescent="0.3">
      <c r="A1234" s="10"/>
    </row>
    <row r="1235" spans="1:1" x14ac:dyDescent="0.3">
      <c r="A1235" s="10"/>
    </row>
    <row r="1236" spans="1:1" x14ac:dyDescent="0.3">
      <c r="A1236" s="10"/>
    </row>
    <row r="1237" spans="1:1" x14ac:dyDescent="0.3">
      <c r="A1237" s="10"/>
    </row>
    <row r="1238" spans="1:1" x14ac:dyDescent="0.3">
      <c r="A1238" s="10"/>
    </row>
    <row r="1239" spans="1:1" x14ac:dyDescent="0.3">
      <c r="A1239" s="10"/>
    </row>
    <row r="1240" spans="1:1" x14ac:dyDescent="0.3">
      <c r="A1240" s="10"/>
    </row>
    <row r="1241" spans="1:1" x14ac:dyDescent="0.3">
      <c r="A1241" s="10"/>
    </row>
    <row r="1242" spans="1:1" x14ac:dyDescent="0.3">
      <c r="A1242" s="10"/>
    </row>
    <row r="1243" spans="1:1" x14ac:dyDescent="0.3">
      <c r="A1243" s="10"/>
    </row>
    <row r="1244" spans="1:1" x14ac:dyDescent="0.3">
      <c r="A1244" s="10"/>
    </row>
    <row r="1245" spans="1:1" x14ac:dyDescent="0.3">
      <c r="A1245" s="10"/>
    </row>
    <row r="1246" spans="1:1" x14ac:dyDescent="0.3">
      <c r="A1246" s="10"/>
    </row>
    <row r="1247" spans="1:1" x14ac:dyDescent="0.3">
      <c r="A1247" s="10"/>
    </row>
    <row r="1248" spans="1:1" x14ac:dyDescent="0.3">
      <c r="A1248" s="10"/>
    </row>
    <row r="1249" spans="1:1" x14ac:dyDescent="0.3">
      <c r="A1249" s="10"/>
    </row>
    <row r="1250" spans="1:1" x14ac:dyDescent="0.3">
      <c r="A1250" s="10"/>
    </row>
    <row r="1251" spans="1:1" x14ac:dyDescent="0.3">
      <c r="A1251" s="10"/>
    </row>
    <row r="1252" spans="1:1" x14ac:dyDescent="0.3">
      <c r="A1252" s="10"/>
    </row>
    <row r="1253" spans="1:1" x14ac:dyDescent="0.3">
      <c r="A1253" s="10"/>
    </row>
    <row r="1254" spans="1:1" x14ac:dyDescent="0.3">
      <c r="A1254" s="10"/>
    </row>
    <row r="1255" spans="1:1" x14ac:dyDescent="0.3">
      <c r="A1255" s="10"/>
    </row>
    <row r="1256" spans="1:1" x14ac:dyDescent="0.3">
      <c r="A1256" s="10"/>
    </row>
    <row r="1257" spans="1:1" x14ac:dyDescent="0.3">
      <c r="A1257" s="10"/>
    </row>
    <row r="1258" spans="1:1" x14ac:dyDescent="0.3">
      <c r="A1258" s="10"/>
    </row>
    <row r="1259" spans="1:1" x14ac:dyDescent="0.3">
      <c r="A1259" s="10"/>
    </row>
    <row r="1260" spans="1:1" x14ac:dyDescent="0.3">
      <c r="A1260" s="10"/>
    </row>
    <row r="1261" spans="1:1" x14ac:dyDescent="0.3">
      <c r="A1261" s="10"/>
    </row>
    <row r="1262" spans="1:1" x14ac:dyDescent="0.3">
      <c r="A1262" s="10"/>
    </row>
    <row r="1263" spans="1:1" x14ac:dyDescent="0.3">
      <c r="A1263" s="10"/>
    </row>
    <row r="1264" spans="1:1" x14ac:dyDescent="0.3">
      <c r="A1264" s="10"/>
    </row>
    <row r="1265" spans="1:1" x14ac:dyDescent="0.3">
      <c r="A1265" s="10"/>
    </row>
    <row r="1266" spans="1:1" x14ac:dyDescent="0.3">
      <c r="A1266" s="10"/>
    </row>
    <row r="1267" spans="1:1" x14ac:dyDescent="0.3">
      <c r="A1267" s="10"/>
    </row>
    <row r="1268" spans="1:1" x14ac:dyDescent="0.3">
      <c r="A1268" s="10"/>
    </row>
    <row r="1269" spans="1:1" x14ac:dyDescent="0.3">
      <c r="A1269" s="10"/>
    </row>
    <row r="1270" spans="1:1" x14ac:dyDescent="0.3">
      <c r="A1270" s="10"/>
    </row>
    <row r="1271" spans="1:1" x14ac:dyDescent="0.3">
      <c r="A1271" s="10"/>
    </row>
    <row r="1272" spans="1:1" x14ac:dyDescent="0.3">
      <c r="A1272" s="10"/>
    </row>
    <row r="1273" spans="1:1" x14ac:dyDescent="0.3">
      <c r="A1273" s="10"/>
    </row>
    <row r="1274" spans="1:1" x14ac:dyDescent="0.3">
      <c r="A1274" s="10"/>
    </row>
    <row r="1275" spans="1:1" x14ac:dyDescent="0.3">
      <c r="A1275" s="10"/>
    </row>
    <row r="1276" spans="1:1" x14ac:dyDescent="0.3">
      <c r="A1276" s="10"/>
    </row>
    <row r="1277" spans="1:1" x14ac:dyDescent="0.3">
      <c r="A1277" s="10"/>
    </row>
    <row r="1278" spans="1:1" x14ac:dyDescent="0.3">
      <c r="A1278" s="10"/>
    </row>
    <row r="1279" spans="1:1" x14ac:dyDescent="0.3">
      <c r="A1279" s="10"/>
    </row>
    <row r="1280" spans="1:1" x14ac:dyDescent="0.3">
      <c r="A1280" s="10"/>
    </row>
    <row r="1281" spans="1:1" x14ac:dyDescent="0.3">
      <c r="A1281" s="10"/>
    </row>
    <row r="1282" spans="1:1" x14ac:dyDescent="0.3">
      <c r="A1282" s="10"/>
    </row>
    <row r="1283" spans="1:1" x14ac:dyDescent="0.3">
      <c r="A1283" s="10"/>
    </row>
    <row r="1284" spans="1:1" x14ac:dyDescent="0.3">
      <c r="A1284" s="10"/>
    </row>
    <row r="1285" spans="1:1" x14ac:dyDescent="0.3">
      <c r="A1285" s="10"/>
    </row>
    <row r="1286" spans="1:1" x14ac:dyDescent="0.3">
      <c r="A1286" s="10"/>
    </row>
    <row r="1287" spans="1:1" x14ac:dyDescent="0.3">
      <c r="A1287" s="10"/>
    </row>
    <row r="1288" spans="1:1" x14ac:dyDescent="0.3">
      <c r="A1288" s="10"/>
    </row>
    <row r="1289" spans="1:1" x14ac:dyDescent="0.3">
      <c r="A1289" s="10"/>
    </row>
    <row r="1290" spans="1:1" x14ac:dyDescent="0.3">
      <c r="A1290" s="10"/>
    </row>
    <row r="1291" spans="1:1" x14ac:dyDescent="0.3">
      <c r="A1291" s="10"/>
    </row>
    <row r="1292" spans="1:1" x14ac:dyDescent="0.3">
      <c r="A1292" s="10"/>
    </row>
    <row r="1293" spans="1:1" x14ac:dyDescent="0.3">
      <c r="A1293" s="10"/>
    </row>
    <row r="1294" spans="1:1" x14ac:dyDescent="0.3">
      <c r="A1294" s="10"/>
    </row>
    <row r="1295" spans="1:1" x14ac:dyDescent="0.3">
      <c r="A1295" s="10"/>
    </row>
    <row r="1296" spans="1:1" x14ac:dyDescent="0.3">
      <c r="A1296" s="10"/>
    </row>
    <row r="1297" spans="1:1" x14ac:dyDescent="0.3">
      <c r="A1297" s="10"/>
    </row>
    <row r="1298" spans="1:1" x14ac:dyDescent="0.3">
      <c r="A1298" s="10"/>
    </row>
    <row r="1299" spans="1:1" x14ac:dyDescent="0.3">
      <c r="A1299" s="10"/>
    </row>
    <row r="1300" spans="1:1" x14ac:dyDescent="0.3">
      <c r="A1300" s="10"/>
    </row>
    <row r="1301" spans="1:1" x14ac:dyDescent="0.3">
      <c r="A1301" s="10"/>
    </row>
    <row r="1302" spans="1:1" x14ac:dyDescent="0.3">
      <c r="A1302" s="10"/>
    </row>
    <row r="1303" spans="1:1" x14ac:dyDescent="0.3">
      <c r="A1303" s="10"/>
    </row>
    <row r="1304" spans="1:1" x14ac:dyDescent="0.3">
      <c r="A1304" s="10"/>
    </row>
    <row r="1305" spans="1:1" x14ac:dyDescent="0.3">
      <c r="A1305" s="10"/>
    </row>
    <row r="1306" spans="1:1" x14ac:dyDescent="0.3">
      <c r="A1306" s="10"/>
    </row>
    <row r="1307" spans="1:1" x14ac:dyDescent="0.3">
      <c r="A1307" s="10"/>
    </row>
    <row r="1308" spans="1:1" x14ac:dyDescent="0.3">
      <c r="A1308" s="10"/>
    </row>
    <row r="1309" spans="1:1" x14ac:dyDescent="0.3">
      <c r="A1309" s="10"/>
    </row>
    <row r="1310" spans="1:1" x14ac:dyDescent="0.3">
      <c r="A1310" s="10"/>
    </row>
    <row r="1311" spans="1:1" x14ac:dyDescent="0.3">
      <c r="A1311" s="10"/>
    </row>
    <row r="1312" spans="1:1" x14ac:dyDescent="0.3">
      <c r="A1312" s="10"/>
    </row>
    <row r="1313" spans="1:1" x14ac:dyDescent="0.3">
      <c r="A1313" s="10"/>
    </row>
    <row r="1314" spans="1:1" x14ac:dyDescent="0.3">
      <c r="A1314" s="10"/>
    </row>
    <row r="1315" spans="1:1" x14ac:dyDescent="0.3">
      <c r="A1315" s="10"/>
    </row>
    <row r="1316" spans="1:1" x14ac:dyDescent="0.3">
      <c r="A1316" s="10"/>
    </row>
    <row r="1317" spans="1:1" x14ac:dyDescent="0.3">
      <c r="A1317" s="10"/>
    </row>
    <row r="1318" spans="1:1" x14ac:dyDescent="0.3">
      <c r="A1318" s="10"/>
    </row>
    <row r="1319" spans="1:1" x14ac:dyDescent="0.3">
      <c r="A1319" s="10"/>
    </row>
    <row r="1320" spans="1:1" x14ac:dyDescent="0.3">
      <c r="A1320" s="10"/>
    </row>
    <row r="1321" spans="1:1" x14ac:dyDescent="0.3">
      <c r="A1321" s="10"/>
    </row>
    <row r="1322" spans="1:1" x14ac:dyDescent="0.3">
      <c r="A1322" s="10"/>
    </row>
    <row r="1323" spans="1:1" x14ac:dyDescent="0.3">
      <c r="A1323" s="10"/>
    </row>
    <row r="1324" spans="1:1" x14ac:dyDescent="0.3">
      <c r="A1324" s="10"/>
    </row>
    <row r="1325" spans="1:1" x14ac:dyDescent="0.3">
      <c r="A1325" s="10"/>
    </row>
    <row r="1326" spans="1:1" x14ac:dyDescent="0.3">
      <c r="A1326" s="10"/>
    </row>
    <row r="1327" spans="1:1" x14ac:dyDescent="0.3">
      <c r="A1327" s="10"/>
    </row>
    <row r="1328" spans="1:1" x14ac:dyDescent="0.3">
      <c r="A1328" s="10"/>
    </row>
    <row r="1329" spans="1:1" x14ac:dyDescent="0.3">
      <c r="A1329" s="10"/>
    </row>
    <row r="1330" spans="1:1" x14ac:dyDescent="0.3">
      <c r="A1330" s="10"/>
    </row>
    <row r="1331" spans="1:1" x14ac:dyDescent="0.3">
      <c r="A1331" s="10"/>
    </row>
    <row r="1332" spans="1:1" x14ac:dyDescent="0.3">
      <c r="A1332" s="10"/>
    </row>
    <row r="1333" spans="1:1" x14ac:dyDescent="0.3">
      <c r="A1333" s="10"/>
    </row>
    <row r="1334" spans="1:1" x14ac:dyDescent="0.3">
      <c r="A1334" s="10"/>
    </row>
    <row r="1335" spans="1:1" x14ac:dyDescent="0.3">
      <c r="A1335" s="10"/>
    </row>
    <row r="1336" spans="1:1" x14ac:dyDescent="0.3">
      <c r="A1336" s="10"/>
    </row>
    <row r="1337" spans="1:1" x14ac:dyDescent="0.3">
      <c r="A1337" s="10"/>
    </row>
    <row r="1338" spans="1:1" x14ac:dyDescent="0.3">
      <c r="A1338" s="10"/>
    </row>
    <row r="1339" spans="1:1" x14ac:dyDescent="0.3">
      <c r="A1339" s="10"/>
    </row>
    <row r="1340" spans="1:1" x14ac:dyDescent="0.3">
      <c r="A1340" s="10"/>
    </row>
    <row r="1341" spans="1:1" x14ac:dyDescent="0.3">
      <c r="A1341" s="10"/>
    </row>
    <row r="1342" spans="1:1" x14ac:dyDescent="0.3">
      <c r="A1342" s="10"/>
    </row>
    <row r="1343" spans="1:1" x14ac:dyDescent="0.3">
      <c r="A1343" s="10"/>
    </row>
    <row r="1344" spans="1:1" x14ac:dyDescent="0.3">
      <c r="A1344" s="10"/>
    </row>
    <row r="1345" spans="1:1" x14ac:dyDescent="0.3">
      <c r="A1345" s="10"/>
    </row>
    <row r="1346" spans="1:1" x14ac:dyDescent="0.3">
      <c r="A1346" s="10"/>
    </row>
    <row r="1347" spans="1:1" x14ac:dyDescent="0.3">
      <c r="A1347" s="10"/>
    </row>
    <row r="1348" spans="1:1" x14ac:dyDescent="0.3">
      <c r="A1348" s="10"/>
    </row>
    <row r="1349" spans="1:1" x14ac:dyDescent="0.3">
      <c r="A1349" s="10"/>
    </row>
    <row r="1350" spans="1:1" x14ac:dyDescent="0.3">
      <c r="A1350" s="10"/>
    </row>
    <row r="1351" spans="1:1" x14ac:dyDescent="0.3">
      <c r="A1351" s="10"/>
    </row>
    <row r="1352" spans="1:1" x14ac:dyDescent="0.3">
      <c r="A1352" s="10"/>
    </row>
    <row r="1353" spans="1:1" x14ac:dyDescent="0.3">
      <c r="A1353" s="10"/>
    </row>
    <row r="1354" spans="1:1" x14ac:dyDescent="0.3">
      <c r="A1354" s="10"/>
    </row>
    <row r="1355" spans="1:1" x14ac:dyDescent="0.3">
      <c r="A1355" s="10"/>
    </row>
    <row r="1356" spans="1:1" x14ac:dyDescent="0.3">
      <c r="A1356" s="10"/>
    </row>
    <row r="1357" spans="1:1" x14ac:dyDescent="0.3">
      <c r="A1357" s="10"/>
    </row>
    <row r="1358" spans="1:1" x14ac:dyDescent="0.3">
      <c r="A1358" s="10"/>
    </row>
    <row r="1359" spans="1:1" x14ac:dyDescent="0.3">
      <c r="A1359" s="10"/>
    </row>
    <row r="1360" spans="1:1" x14ac:dyDescent="0.3">
      <c r="A1360" s="10"/>
    </row>
    <row r="1361" spans="1:1" x14ac:dyDescent="0.3">
      <c r="A1361" s="10"/>
    </row>
    <row r="1362" spans="1:1" x14ac:dyDescent="0.3">
      <c r="A1362" s="10"/>
    </row>
    <row r="1363" spans="1:1" x14ac:dyDescent="0.3">
      <c r="A1363" s="10"/>
    </row>
    <row r="1364" spans="1:1" x14ac:dyDescent="0.3">
      <c r="A1364" s="10"/>
    </row>
    <row r="1365" spans="1:1" x14ac:dyDescent="0.3">
      <c r="A1365" s="10"/>
    </row>
    <row r="1366" spans="1:1" x14ac:dyDescent="0.3">
      <c r="A1366" s="10"/>
    </row>
    <row r="1367" spans="1:1" x14ac:dyDescent="0.3">
      <c r="A1367" s="10"/>
    </row>
    <row r="1368" spans="1:1" x14ac:dyDescent="0.3">
      <c r="A1368" s="10"/>
    </row>
    <row r="1369" spans="1:1" x14ac:dyDescent="0.3">
      <c r="A1369" s="10"/>
    </row>
    <row r="1370" spans="1:1" x14ac:dyDescent="0.3">
      <c r="A1370" s="10"/>
    </row>
    <row r="1371" spans="1:1" x14ac:dyDescent="0.3">
      <c r="A1371" s="10"/>
    </row>
    <row r="1372" spans="1:1" x14ac:dyDescent="0.3">
      <c r="A1372" s="10"/>
    </row>
    <row r="1373" spans="1:1" x14ac:dyDescent="0.3">
      <c r="A1373" s="10"/>
    </row>
    <row r="1374" spans="1:1" x14ac:dyDescent="0.3">
      <c r="A1374" s="10"/>
    </row>
    <row r="1375" spans="1:1" x14ac:dyDescent="0.3">
      <c r="A1375" s="10"/>
    </row>
    <row r="1376" spans="1:1" x14ac:dyDescent="0.3">
      <c r="A1376" s="10"/>
    </row>
    <row r="1377" spans="1:1" x14ac:dyDescent="0.3">
      <c r="A1377" s="10"/>
    </row>
    <row r="1378" spans="1:1" x14ac:dyDescent="0.3">
      <c r="A1378" s="10"/>
    </row>
    <row r="1379" spans="1:1" x14ac:dyDescent="0.3">
      <c r="A1379" s="10"/>
    </row>
    <row r="1380" spans="1:1" x14ac:dyDescent="0.3">
      <c r="A1380" s="10"/>
    </row>
    <row r="1381" spans="1:1" x14ac:dyDescent="0.3">
      <c r="A1381" s="10"/>
    </row>
    <row r="1382" spans="1:1" x14ac:dyDescent="0.3">
      <c r="A1382" s="10"/>
    </row>
    <row r="1383" spans="1:1" x14ac:dyDescent="0.3">
      <c r="A1383" s="10"/>
    </row>
    <row r="1384" spans="1:1" x14ac:dyDescent="0.3">
      <c r="A1384" s="10"/>
    </row>
    <row r="1385" spans="1:1" x14ac:dyDescent="0.3">
      <c r="A1385" s="10"/>
    </row>
    <row r="1386" spans="1:1" x14ac:dyDescent="0.3">
      <c r="A1386" s="10"/>
    </row>
    <row r="1387" spans="1:1" x14ac:dyDescent="0.3">
      <c r="A1387" s="10"/>
    </row>
    <row r="1388" spans="1:1" x14ac:dyDescent="0.3">
      <c r="A1388" s="10"/>
    </row>
    <row r="1389" spans="1:1" x14ac:dyDescent="0.3">
      <c r="A1389" s="10"/>
    </row>
    <row r="1390" spans="1:1" x14ac:dyDescent="0.3">
      <c r="A1390" s="10"/>
    </row>
    <row r="1391" spans="1:1" x14ac:dyDescent="0.3">
      <c r="A1391" s="10"/>
    </row>
    <row r="1392" spans="1:1" x14ac:dyDescent="0.3">
      <c r="A1392" s="10"/>
    </row>
    <row r="1393" spans="1:1" x14ac:dyDescent="0.3">
      <c r="A1393" s="10"/>
    </row>
    <row r="1394" spans="1:1" x14ac:dyDescent="0.3">
      <c r="A1394" s="10"/>
    </row>
    <row r="1395" spans="1:1" x14ac:dyDescent="0.3">
      <c r="A1395" s="10"/>
    </row>
    <row r="1396" spans="1:1" x14ac:dyDescent="0.3">
      <c r="A1396" s="10"/>
    </row>
    <row r="1397" spans="1:1" x14ac:dyDescent="0.3">
      <c r="A1397" s="10"/>
    </row>
    <row r="1398" spans="1:1" x14ac:dyDescent="0.3">
      <c r="A1398" s="10"/>
    </row>
    <row r="1399" spans="1:1" x14ac:dyDescent="0.3">
      <c r="A1399" s="10"/>
    </row>
    <row r="1400" spans="1:1" x14ac:dyDescent="0.3">
      <c r="A1400" s="10"/>
    </row>
    <row r="1401" spans="1:1" x14ac:dyDescent="0.3">
      <c r="A1401" s="10"/>
    </row>
    <row r="1402" spans="1:1" x14ac:dyDescent="0.3">
      <c r="A1402" s="10"/>
    </row>
    <row r="1403" spans="1:1" x14ac:dyDescent="0.3">
      <c r="A1403" s="10"/>
    </row>
    <row r="1404" spans="1:1" x14ac:dyDescent="0.3">
      <c r="A1404" s="10"/>
    </row>
    <row r="1405" spans="1:1" x14ac:dyDescent="0.3">
      <c r="A1405" s="10"/>
    </row>
    <row r="1406" spans="1:1" x14ac:dyDescent="0.3">
      <c r="A1406" s="10"/>
    </row>
    <row r="1407" spans="1:1" x14ac:dyDescent="0.3">
      <c r="A1407" s="10"/>
    </row>
    <row r="1408" spans="1:1" x14ac:dyDescent="0.3">
      <c r="A1408" s="10"/>
    </row>
    <row r="1409" spans="1:1" x14ac:dyDescent="0.3">
      <c r="A1409" s="10"/>
    </row>
    <row r="1410" spans="1:1" x14ac:dyDescent="0.3">
      <c r="A1410" s="10"/>
    </row>
    <row r="1411" spans="1:1" x14ac:dyDescent="0.3">
      <c r="A1411" s="10"/>
    </row>
    <row r="1412" spans="1:1" x14ac:dyDescent="0.3">
      <c r="A1412" s="10"/>
    </row>
    <row r="1413" spans="1:1" x14ac:dyDescent="0.3">
      <c r="A1413" s="10"/>
    </row>
    <row r="1414" spans="1:1" x14ac:dyDescent="0.3">
      <c r="A1414" s="10"/>
    </row>
    <row r="1415" spans="1:1" x14ac:dyDescent="0.3">
      <c r="A1415" s="10"/>
    </row>
    <row r="1416" spans="1:1" x14ac:dyDescent="0.3">
      <c r="A1416" s="10"/>
    </row>
    <row r="1417" spans="1:1" x14ac:dyDescent="0.3">
      <c r="A1417" s="10"/>
    </row>
    <row r="1418" spans="1:1" x14ac:dyDescent="0.3">
      <c r="A1418" s="10"/>
    </row>
    <row r="1419" spans="1:1" x14ac:dyDescent="0.3">
      <c r="A1419" s="10"/>
    </row>
    <row r="1420" spans="1:1" x14ac:dyDescent="0.3">
      <c r="A1420" s="10"/>
    </row>
    <row r="1421" spans="1:1" x14ac:dyDescent="0.3">
      <c r="A1421" s="10"/>
    </row>
    <row r="1422" spans="1:1" x14ac:dyDescent="0.3">
      <c r="A1422" s="10"/>
    </row>
    <row r="1423" spans="1:1" x14ac:dyDescent="0.3">
      <c r="A1423" s="10"/>
    </row>
    <row r="1424" spans="1:1" x14ac:dyDescent="0.3">
      <c r="A1424" s="10"/>
    </row>
    <row r="1425" spans="1:1" x14ac:dyDescent="0.3">
      <c r="A1425" s="10"/>
    </row>
    <row r="1426" spans="1:1" x14ac:dyDescent="0.3">
      <c r="A1426" s="10"/>
    </row>
    <row r="1427" spans="1:1" x14ac:dyDescent="0.3">
      <c r="A1427" s="10"/>
    </row>
    <row r="1428" spans="1:1" x14ac:dyDescent="0.3">
      <c r="A1428" s="10"/>
    </row>
    <row r="1429" spans="1:1" x14ac:dyDescent="0.3">
      <c r="A1429" s="10"/>
    </row>
    <row r="1430" spans="1:1" x14ac:dyDescent="0.3">
      <c r="A1430" s="10"/>
    </row>
    <row r="1431" spans="1:1" x14ac:dyDescent="0.3">
      <c r="A1431" s="10"/>
    </row>
    <row r="1432" spans="1:1" x14ac:dyDescent="0.3">
      <c r="A1432" s="10"/>
    </row>
    <row r="1433" spans="1:1" x14ac:dyDescent="0.3">
      <c r="A1433" s="10"/>
    </row>
    <row r="1434" spans="1:1" x14ac:dyDescent="0.3">
      <c r="A1434" s="10"/>
    </row>
    <row r="1435" spans="1:1" x14ac:dyDescent="0.3">
      <c r="A1435" s="10"/>
    </row>
    <row r="1436" spans="1:1" x14ac:dyDescent="0.3">
      <c r="A1436" s="10"/>
    </row>
    <row r="1437" spans="1:1" x14ac:dyDescent="0.3">
      <c r="A1437" s="10"/>
    </row>
    <row r="1438" spans="1:1" x14ac:dyDescent="0.3">
      <c r="A1438" s="10"/>
    </row>
    <row r="1439" spans="1:1" x14ac:dyDescent="0.3">
      <c r="A1439" s="10"/>
    </row>
    <row r="1440" spans="1:1" x14ac:dyDescent="0.3">
      <c r="A1440" s="10"/>
    </row>
    <row r="1441" spans="1:1" x14ac:dyDescent="0.3">
      <c r="A1441" s="10"/>
    </row>
    <row r="1442" spans="1:1" x14ac:dyDescent="0.3">
      <c r="A1442" s="10"/>
    </row>
    <row r="1443" spans="1:1" x14ac:dyDescent="0.3">
      <c r="A1443" s="10"/>
    </row>
    <row r="1444" spans="1:1" x14ac:dyDescent="0.3">
      <c r="A1444" s="10"/>
    </row>
    <row r="1445" spans="1:1" x14ac:dyDescent="0.3">
      <c r="A1445" s="10"/>
    </row>
    <row r="1446" spans="1:1" x14ac:dyDescent="0.3">
      <c r="A1446" s="10"/>
    </row>
    <row r="1447" spans="1:1" x14ac:dyDescent="0.3">
      <c r="A1447" s="10"/>
    </row>
    <row r="1448" spans="1:1" x14ac:dyDescent="0.3">
      <c r="A1448" s="10"/>
    </row>
    <row r="1449" spans="1:1" x14ac:dyDescent="0.3">
      <c r="A1449" s="10"/>
    </row>
    <row r="1450" spans="1:1" x14ac:dyDescent="0.3">
      <c r="A1450" s="10"/>
    </row>
    <row r="1451" spans="1:1" x14ac:dyDescent="0.3">
      <c r="A1451" s="10"/>
    </row>
    <row r="1452" spans="1:1" x14ac:dyDescent="0.3">
      <c r="A1452" s="10"/>
    </row>
    <row r="1453" spans="1:1" x14ac:dyDescent="0.3">
      <c r="A1453" s="10"/>
    </row>
    <row r="1454" spans="1:1" x14ac:dyDescent="0.3">
      <c r="A1454" s="10"/>
    </row>
    <row r="1455" spans="1:1" x14ac:dyDescent="0.3">
      <c r="A1455" s="10"/>
    </row>
    <row r="1456" spans="1:1" x14ac:dyDescent="0.3">
      <c r="A1456" s="10"/>
    </row>
    <row r="1457" spans="1:1" x14ac:dyDescent="0.3">
      <c r="A1457" s="10"/>
    </row>
    <row r="1458" spans="1:1" x14ac:dyDescent="0.3">
      <c r="A1458" s="10"/>
    </row>
    <row r="1459" spans="1:1" x14ac:dyDescent="0.3">
      <c r="A1459" s="10"/>
    </row>
    <row r="1460" spans="1:1" x14ac:dyDescent="0.3">
      <c r="A1460" s="10"/>
    </row>
    <row r="1461" spans="1:1" x14ac:dyDescent="0.3">
      <c r="A1461" s="10"/>
    </row>
    <row r="1462" spans="1:1" x14ac:dyDescent="0.3">
      <c r="A1462" s="10"/>
    </row>
    <row r="1463" spans="1:1" x14ac:dyDescent="0.3">
      <c r="A1463" s="10"/>
    </row>
    <row r="1464" spans="1:1" x14ac:dyDescent="0.3">
      <c r="A1464" s="10"/>
    </row>
    <row r="1465" spans="1:1" x14ac:dyDescent="0.3">
      <c r="A1465" s="10"/>
    </row>
    <row r="1466" spans="1:1" x14ac:dyDescent="0.3">
      <c r="A1466" s="10"/>
    </row>
    <row r="1467" spans="1:1" x14ac:dyDescent="0.3">
      <c r="A1467" s="10"/>
    </row>
    <row r="1468" spans="1:1" x14ac:dyDescent="0.3">
      <c r="A1468" s="10"/>
    </row>
    <row r="1469" spans="1:1" x14ac:dyDescent="0.3">
      <c r="A1469" s="10"/>
    </row>
    <row r="1470" spans="1:1" x14ac:dyDescent="0.3">
      <c r="A1470" s="10"/>
    </row>
    <row r="1471" spans="1:1" x14ac:dyDescent="0.3">
      <c r="A1471" s="10"/>
    </row>
    <row r="1472" spans="1:1" x14ac:dyDescent="0.3">
      <c r="A1472" s="10"/>
    </row>
    <row r="1473" spans="1:1" x14ac:dyDescent="0.3">
      <c r="A1473" s="10"/>
    </row>
    <row r="1474" spans="1:1" x14ac:dyDescent="0.3">
      <c r="A1474" s="10"/>
    </row>
    <row r="1475" spans="1:1" x14ac:dyDescent="0.3">
      <c r="A1475" s="10"/>
    </row>
    <row r="1476" spans="1:1" x14ac:dyDescent="0.3">
      <c r="A1476" s="10"/>
    </row>
    <row r="1477" spans="1:1" x14ac:dyDescent="0.3">
      <c r="A1477" s="10"/>
    </row>
    <row r="1478" spans="1:1" x14ac:dyDescent="0.3">
      <c r="A1478" s="10"/>
    </row>
    <row r="1479" spans="1:1" x14ac:dyDescent="0.3">
      <c r="A1479" s="10"/>
    </row>
    <row r="1480" spans="1:1" x14ac:dyDescent="0.3">
      <c r="A1480" s="10"/>
    </row>
    <row r="1481" spans="1:1" x14ac:dyDescent="0.3">
      <c r="A1481" s="10"/>
    </row>
    <row r="1482" spans="1:1" x14ac:dyDescent="0.3">
      <c r="A1482" s="10"/>
    </row>
    <row r="1483" spans="1:1" x14ac:dyDescent="0.3">
      <c r="A1483" s="10"/>
    </row>
    <row r="1484" spans="1:1" x14ac:dyDescent="0.3">
      <c r="A1484" s="10"/>
    </row>
    <row r="1485" spans="1:1" x14ac:dyDescent="0.3">
      <c r="A1485" s="10"/>
    </row>
    <row r="1486" spans="1:1" x14ac:dyDescent="0.3">
      <c r="A1486" s="10"/>
    </row>
    <row r="1487" spans="1:1" x14ac:dyDescent="0.3">
      <c r="A1487" s="10"/>
    </row>
    <row r="1488" spans="1:1" x14ac:dyDescent="0.3">
      <c r="A1488" s="10"/>
    </row>
    <row r="1489" spans="1:1" x14ac:dyDescent="0.3">
      <c r="A1489" s="10"/>
    </row>
    <row r="1490" spans="1:1" x14ac:dyDescent="0.3">
      <c r="A1490" s="10"/>
    </row>
    <row r="1491" spans="1:1" x14ac:dyDescent="0.3">
      <c r="A1491" s="10"/>
    </row>
    <row r="1492" spans="1:1" x14ac:dyDescent="0.3">
      <c r="A1492" s="10"/>
    </row>
    <row r="1493" spans="1:1" x14ac:dyDescent="0.3">
      <c r="A1493" s="10"/>
    </row>
    <row r="1494" spans="1:1" x14ac:dyDescent="0.3">
      <c r="A1494" s="10"/>
    </row>
    <row r="1495" spans="1:1" x14ac:dyDescent="0.3">
      <c r="A1495" s="10"/>
    </row>
    <row r="1496" spans="1:1" x14ac:dyDescent="0.3">
      <c r="A1496" s="10"/>
    </row>
    <row r="1497" spans="1:1" x14ac:dyDescent="0.3">
      <c r="A1497" s="10"/>
    </row>
    <row r="1498" spans="1:1" x14ac:dyDescent="0.3">
      <c r="A1498" s="10"/>
    </row>
    <row r="1499" spans="1:1" x14ac:dyDescent="0.3">
      <c r="A1499" s="10"/>
    </row>
    <row r="1500" spans="1:1" x14ac:dyDescent="0.3">
      <c r="A1500" s="10"/>
    </row>
    <row r="1501" spans="1:1" x14ac:dyDescent="0.3">
      <c r="A1501" s="10"/>
    </row>
    <row r="1502" spans="1:1" x14ac:dyDescent="0.3">
      <c r="A1502" s="10"/>
    </row>
    <row r="1503" spans="1:1" x14ac:dyDescent="0.3">
      <c r="A1503" s="10"/>
    </row>
    <row r="1504" spans="1:1" x14ac:dyDescent="0.3">
      <c r="A1504" s="10"/>
    </row>
    <row r="1505" spans="1:1" x14ac:dyDescent="0.3">
      <c r="A1505" s="10"/>
    </row>
    <row r="1506" spans="1:1" x14ac:dyDescent="0.3">
      <c r="A1506" s="10"/>
    </row>
    <row r="1507" spans="1:1" x14ac:dyDescent="0.3">
      <c r="A1507" s="10"/>
    </row>
    <row r="1508" spans="1:1" x14ac:dyDescent="0.3">
      <c r="A1508" s="10"/>
    </row>
    <row r="1509" spans="1:1" x14ac:dyDescent="0.3">
      <c r="A1509" s="10"/>
    </row>
    <row r="1510" spans="1:1" x14ac:dyDescent="0.3">
      <c r="A1510" s="10"/>
    </row>
    <row r="1511" spans="1:1" x14ac:dyDescent="0.3">
      <c r="A1511" s="10"/>
    </row>
    <row r="1512" spans="1:1" x14ac:dyDescent="0.3">
      <c r="A1512" s="10"/>
    </row>
    <row r="1513" spans="1:1" x14ac:dyDescent="0.3">
      <c r="A1513" s="10"/>
    </row>
    <row r="1514" spans="1:1" x14ac:dyDescent="0.3">
      <c r="A1514" s="10"/>
    </row>
    <row r="1515" spans="1:1" x14ac:dyDescent="0.3">
      <c r="A1515" s="10"/>
    </row>
    <row r="1516" spans="1:1" x14ac:dyDescent="0.3">
      <c r="A1516" s="10"/>
    </row>
    <row r="1517" spans="1:1" x14ac:dyDescent="0.3">
      <c r="A1517" s="10"/>
    </row>
    <row r="1518" spans="1:1" x14ac:dyDescent="0.3">
      <c r="A1518" s="10"/>
    </row>
    <row r="1519" spans="1:1" x14ac:dyDescent="0.3">
      <c r="A1519" s="10"/>
    </row>
    <row r="1520" spans="1:1" x14ac:dyDescent="0.3">
      <c r="A1520" s="10"/>
    </row>
    <row r="1521" spans="1:1" x14ac:dyDescent="0.3">
      <c r="A1521" s="10"/>
    </row>
    <row r="1522" spans="1:1" x14ac:dyDescent="0.3">
      <c r="A1522" s="10"/>
    </row>
    <row r="1523" spans="1:1" x14ac:dyDescent="0.3">
      <c r="A1523" s="10"/>
    </row>
    <row r="1524" spans="1:1" x14ac:dyDescent="0.3">
      <c r="A1524" s="10"/>
    </row>
    <row r="1525" spans="1:1" x14ac:dyDescent="0.3">
      <c r="A1525" s="10"/>
    </row>
    <row r="1526" spans="1:1" x14ac:dyDescent="0.3">
      <c r="A1526" s="10"/>
    </row>
    <row r="1527" spans="1:1" x14ac:dyDescent="0.3">
      <c r="A1527" s="10"/>
    </row>
    <row r="1528" spans="1:1" x14ac:dyDescent="0.3">
      <c r="A1528" s="10"/>
    </row>
    <row r="1529" spans="1:1" x14ac:dyDescent="0.3">
      <c r="A1529" s="10"/>
    </row>
    <row r="1530" spans="1:1" x14ac:dyDescent="0.3">
      <c r="A1530" s="10"/>
    </row>
    <row r="1531" spans="1:1" x14ac:dyDescent="0.3">
      <c r="A1531" s="10"/>
    </row>
    <row r="1532" spans="1:1" x14ac:dyDescent="0.3">
      <c r="A1532" s="10"/>
    </row>
    <row r="1533" spans="1:1" x14ac:dyDescent="0.3">
      <c r="A1533" s="10"/>
    </row>
    <row r="1534" spans="1:1" x14ac:dyDescent="0.3">
      <c r="A1534" s="10"/>
    </row>
    <row r="1535" spans="1:1" x14ac:dyDescent="0.3">
      <c r="A1535" s="10"/>
    </row>
    <row r="1536" spans="1:1" x14ac:dyDescent="0.3">
      <c r="A1536" s="10"/>
    </row>
    <row r="1537" spans="1:1" x14ac:dyDescent="0.3">
      <c r="A1537" s="10"/>
    </row>
    <row r="1538" spans="1:1" x14ac:dyDescent="0.3">
      <c r="A1538" s="10"/>
    </row>
    <row r="1539" spans="1:1" x14ac:dyDescent="0.3">
      <c r="A1539" s="10"/>
    </row>
    <row r="1540" spans="1:1" x14ac:dyDescent="0.3">
      <c r="A1540" s="10"/>
    </row>
    <row r="1541" spans="1:1" x14ac:dyDescent="0.3">
      <c r="A1541" s="10"/>
    </row>
    <row r="1542" spans="1:1" x14ac:dyDescent="0.3">
      <c r="A1542" s="10"/>
    </row>
    <row r="1543" spans="1:1" x14ac:dyDescent="0.3">
      <c r="A1543" s="10"/>
    </row>
    <row r="1544" spans="1:1" x14ac:dyDescent="0.3">
      <c r="A1544" s="10"/>
    </row>
    <row r="1545" spans="1:1" x14ac:dyDescent="0.3">
      <c r="A1545" s="10"/>
    </row>
    <row r="1546" spans="1:1" x14ac:dyDescent="0.3">
      <c r="A1546" s="10"/>
    </row>
    <row r="1547" spans="1:1" x14ac:dyDescent="0.3">
      <c r="A1547" s="10"/>
    </row>
    <row r="1548" spans="1:1" x14ac:dyDescent="0.3">
      <c r="A1548" s="10"/>
    </row>
    <row r="1549" spans="1:1" x14ac:dyDescent="0.3">
      <c r="A1549" s="10"/>
    </row>
    <row r="1550" spans="1:1" x14ac:dyDescent="0.3">
      <c r="A1550" s="10"/>
    </row>
    <row r="1551" spans="1:1" x14ac:dyDescent="0.3">
      <c r="A1551" s="10"/>
    </row>
    <row r="1552" spans="1:1" x14ac:dyDescent="0.3">
      <c r="A1552" s="10"/>
    </row>
    <row r="1553" spans="1:1" x14ac:dyDescent="0.3">
      <c r="A1553" s="10"/>
    </row>
    <row r="1554" spans="1:1" x14ac:dyDescent="0.3">
      <c r="A1554" s="10"/>
    </row>
    <row r="1555" spans="1:1" x14ac:dyDescent="0.3">
      <c r="A1555" s="10"/>
    </row>
    <row r="1556" spans="1:1" x14ac:dyDescent="0.3">
      <c r="A1556" s="10"/>
    </row>
    <row r="1557" spans="1:1" x14ac:dyDescent="0.3">
      <c r="A1557" s="10"/>
    </row>
    <row r="1558" spans="1:1" x14ac:dyDescent="0.3">
      <c r="A1558" s="10"/>
    </row>
    <row r="1559" spans="1:1" x14ac:dyDescent="0.3">
      <c r="A1559" s="10"/>
    </row>
    <row r="1560" spans="1:1" x14ac:dyDescent="0.3">
      <c r="A1560" s="10"/>
    </row>
    <row r="1561" spans="1:1" x14ac:dyDescent="0.3">
      <c r="A1561" s="10"/>
    </row>
    <row r="1562" spans="1:1" x14ac:dyDescent="0.3">
      <c r="A1562" s="10"/>
    </row>
    <row r="1563" spans="1:1" x14ac:dyDescent="0.3">
      <c r="A1563" s="10"/>
    </row>
    <row r="1564" spans="1:1" x14ac:dyDescent="0.3">
      <c r="A1564" s="10"/>
    </row>
    <row r="1565" spans="1:1" x14ac:dyDescent="0.3">
      <c r="A1565" s="10"/>
    </row>
    <row r="1566" spans="1:1" x14ac:dyDescent="0.3">
      <c r="A1566" s="10"/>
    </row>
    <row r="1567" spans="1:1" x14ac:dyDescent="0.3">
      <c r="A1567" s="10"/>
    </row>
    <row r="1568" spans="1:1" x14ac:dyDescent="0.3">
      <c r="A1568" s="10"/>
    </row>
    <row r="1569" spans="1:1" x14ac:dyDescent="0.3">
      <c r="A1569" s="10"/>
    </row>
    <row r="1570" spans="1:1" x14ac:dyDescent="0.3">
      <c r="A1570" s="10"/>
    </row>
    <row r="1571" spans="1:1" x14ac:dyDescent="0.3">
      <c r="A1571" s="10"/>
    </row>
    <row r="1572" spans="1:1" x14ac:dyDescent="0.3">
      <c r="A1572" s="10"/>
    </row>
    <row r="1573" spans="1:1" x14ac:dyDescent="0.3">
      <c r="A1573" s="10"/>
    </row>
    <row r="1574" spans="1:1" x14ac:dyDescent="0.3">
      <c r="A1574" s="10"/>
    </row>
    <row r="1575" spans="1:1" x14ac:dyDescent="0.3">
      <c r="A1575" s="10"/>
    </row>
    <row r="1576" spans="1:1" x14ac:dyDescent="0.3">
      <c r="A1576" s="10"/>
    </row>
    <row r="1577" spans="1:1" x14ac:dyDescent="0.3">
      <c r="A1577" s="10"/>
    </row>
    <row r="1578" spans="1:1" x14ac:dyDescent="0.3">
      <c r="A1578" s="10"/>
    </row>
    <row r="1579" spans="1:1" x14ac:dyDescent="0.3">
      <c r="A1579" s="10"/>
    </row>
    <row r="1580" spans="1:1" x14ac:dyDescent="0.3">
      <c r="A1580" s="10"/>
    </row>
    <row r="1581" spans="1:1" x14ac:dyDescent="0.3">
      <c r="A1581" s="10"/>
    </row>
    <row r="1582" spans="1:1" x14ac:dyDescent="0.3">
      <c r="A1582" s="10"/>
    </row>
    <row r="1583" spans="1:1" x14ac:dyDescent="0.3">
      <c r="A1583" s="10"/>
    </row>
    <row r="1584" spans="1:1" x14ac:dyDescent="0.3">
      <c r="A1584" s="10"/>
    </row>
    <row r="1585" spans="1:1" x14ac:dyDescent="0.3">
      <c r="A1585" s="10"/>
    </row>
    <row r="1586" spans="1:1" x14ac:dyDescent="0.3">
      <c r="A1586" s="10"/>
    </row>
    <row r="1587" spans="1:1" x14ac:dyDescent="0.3">
      <c r="A1587" s="10"/>
    </row>
    <row r="1588" spans="1:1" x14ac:dyDescent="0.3">
      <c r="A1588" s="10"/>
    </row>
    <row r="1589" spans="1:1" x14ac:dyDescent="0.3">
      <c r="A1589" s="10"/>
    </row>
    <row r="1590" spans="1:1" x14ac:dyDescent="0.3">
      <c r="A1590" s="10"/>
    </row>
    <row r="1591" spans="1:1" x14ac:dyDescent="0.3">
      <c r="A1591" s="10"/>
    </row>
    <row r="1592" spans="1:1" x14ac:dyDescent="0.3">
      <c r="A1592" s="10"/>
    </row>
    <row r="1593" spans="1:1" x14ac:dyDescent="0.3">
      <c r="A1593" s="10"/>
    </row>
    <row r="1594" spans="1:1" x14ac:dyDescent="0.3">
      <c r="A1594" s="10"/>
    </row>
    <row r="1595" spans="1:1" x14ac:dyDescent="0.3">
      <c r="A1595" s="10"/>
    </row>
    <row r="1596" spans="1:1" x14ac:dyDescent="0.3">
      <c r="A1596" s="10"/>
    </row>
    <row r="1597" spans="1:1" x14ac:dyDescent="0.3">
      <c r="A1597" s="10"/>
    </row>
    <row r="1598" spans="1:1" x14ac:dyDescent="0.3">
      <c r="A1598" s="10"/>
    </row>
    <row r="1599" spans="1:1" x14ac:dyDescent="0.3">
      <c r="A1599" s="10"/>
    </row>
    <row r="1600" spans="1:1" x14ac:dyDescent="0.3">
      <c r="A1600" s="10"/>
    </row>
    <row r="1601" spans="1:1" x14ac:dyDescent="0.3">
      <c r="A1601" s="10"/>
    </row>
    <row r="1602" spans="1:1" x14ac:dyDescent="0.3">
      <c r="A1602" s="10"/>
    </row>
    <row r="1603" spans="1:1" x14ac:dyDescent="0.3">
      <c r="A1603" s="10"/>
    </row>
    <row r="1604" spans="1:1" x14ac:dyDescent="0.3">
      <c r="A1604" s="10"/>
    </row>
    <row r="1605" spans="1:1" x14ac:dyDescent="0.3">
      <c r="A1605" s="10"/>
    </row>
    <row r="1606" spans="1:1" x14ac:dyDescent="0.3">
      <c r="A1606" s="10"/>
    </row>
    <row r="1607" spans="1:1" x14ac:dyDescent="0.3">
      <c r="A1607" s="10"/>
    </row>
    <row r="1608" spans="1:1" x14ac:dyDescent="0.3">
      <c r="A1608" s="10"/>
    </row>
    <row r="1609" spans="1:1" x14ac:dyDescent="0.3">
      <c r="A1609" s="10"/>
    </row>
    <row r="1610" spans="1:1" x14ac:dyDescent="0.3">
      <c r="A1610" s="10"/>
    </row>
    <row r="1611" spans="1:1" x14ac:dyDescent="0.3">
      <c r="A1611" s="10"/>
    </row>
    <row r="1612" spans="1:1" x14ac:dyDescent="0.3">
      <c r="A1612" s="10"/>
    </row>
    <row r="1613" spans="1:1" x14ac:dyDescent="0.3">
      <c r="A1613" s="10"/>
    </row>
    <row r="1614" spans="1:1" x14ac:dyDescent="0.3">
      <c r="A1614" s="10"/>
    </row>
    <row r="1615" spans="1:1" x14ac:dyDescent="0.3">
      <c r="A1615" s="10"/>
    </row>
    <row r="1616" spans="1:1" x14ac:dyDescent="0.3">
      <c r="A1616" s="10"/>
    </row>
    <row r="1617" spans="1:1" x14ac:dyDescent="0.3">
      <c r="A1617" s="10"/>
    </row>
    <row r="1618" spans="1:1" x14ac:dyDescent="0.3">
      <c r="A1618" s="10"/>
    </row>
    <row r="1619" spans="1:1" x14ac:dyDescent="0.3">
      <c r="A1619" s="10"/>
    </row>
    <row r="1620" spans="1:1" x14ac:dyDescent="0.3">
      <c r="A1620" s="10"/>
    </row>
    <row r="1621" spans="1:1" x14ac:dyDescent="0.3">
      <c r="A1621" s="10"/>
    </row>
    <row r="1622" spans="1:1" x14ac:dyDescent="0.3">
      <c r="A1622" s="10"/>
    </row>
    <row r="1623" spans="1:1" x14ac:dyDescent="0.3">
      <c r="A1623" s="10"/>
    </row>
    <row r="1624" spans="1:1" x14ac:dyDescent="0.3">
      <c r="A1624" s="10"/>
    </row>
    <row r="1625" spans="1:1" x14ac:dyDescent="0.3">
      <c r="A1625" s="10"/>
    </row>
    <row r="1626" spans="1:1" x14ac:dyDescent="0.3">
      <c r="A1626" s="10"/>
    </row>
    <row r="1627" spans="1:1" x14ac:dyDescent="0.3">
      <c r="A1627" s="10"/>
    </row>
    <row r="1628" spans="1:1" x14ac:dyDescent="0.3">
      <c r="A1628" s="10"/>
    </row>
    <row r="1629" spans="1:1" x14ac:dyDescent="0.3">
      <c r="A1629" s="10"/>
    </row>
    <row r="1630" spans="1:1" x14ac:dyDescent="0.3">
      <c r="A1630" s="10"/>
    </row>
    <row r="1631" spans="1:1" x14ac:dyDescent="0.3">
      <c r="A1631" s="10"/>
    </row>
    <row r="1632" spans="1:1" x14ac:dyDescent="0.3">
      <c r="A1632" s="10"/>
    </row>
    <row r="1633" spans="1:1" x14ac:dyDescent="0.3">
      <c r="A1633" s="10"/>
    </row>
    <row r="1634" spans="1:1" x14ac:dyDescent="0.3">
      <c r="A1634" s="10"/>
    </row>
    <row r="1635" spans="1:1" x14ac:dyDescent="0.3">
      <c r="A1635" s="10"/>
    </row>
    <row r="1636" spans="1:1" x14ac:dyDescent="0.3">
      <c r="A1636" s="10"/>
    </row>
    <row r="1637" spans="1:1" x14ac:dyDescent="0.3">
      <c r="A1637" s="10"/>
    </row>
    <row r="1638" spans="1:1" x14ac:dyDescent="0.3">
      <c r="A1638" s="10"/>
    </row>
    <row r="1639" spans="1:1" x14ac:dyDescent="0.3">
      <c r="A1639" s="10"/>
    </row>
    <row r="1640" spans="1:1" x14ac:dyDescent="0.3">
      <c r="A1640" s="10"/>
    </row>
    <row r="1641" spans="1:1" x14ac:dyDescent="0.3">
      <c r="A1641" s="10"/>
    </row>
    <row r="1642" spans="1:1" x14ac:dyDescent="0.3">
      <c r="A1642" s="10"/>
    </row>
    <row r="1643" spans="1:1" x14ac:dyDescent="0.3">
      <c r="A1643" s="10"/>
    </row>
    <row r="1644" spans="1:1" x14ac:dyDescent="0.3">
      <c r="A1644" s="10"/>
    </row>
    <row r="1645" spans="1:1" x14ac:dyDescent="0.3">
      <c r="A1645" s="10"/>
    </row>
    <row r="1646" spans="1:1" x14ac:dyDescent="0.3">
      <c r="A1646" s="10"/>
    </row>
    <row r="1647" spans="1:1" x14ac:dyDescent="0.3">
      <c r="A1647" s="10"/>
    </row>
    <row r="1648" spans="1:1" x14ac:dyDescent="0.3">
      <c r="A1648" s="10"/>
    </row>
    <row r="1649" spans="1:1" x14ac:dyDescent="0.3">
      <c r="A1649" s="10"/>
    </row>
    <row r="1650" spans="1:1" x14ac:dyDescent="0.3">
      <c r="A1650" s="10"/>
    </row>
    <row r="1651" spans="1:1" x14ac:dyDescent="0.3">
      <c r="A1651" s="10"/>
    </row>
    <row r="1652" spans="1:1" x14ac:dyDescent="0.3">
      <c r="A1652" s="10"/>
    </row>
    <row r="1653" spans="1:1" x14ac:dyDescent="0.3">
      <c r="A1653" s="10"/>
    </row>
    <row r="1654" spans="1:1" x14ac:dyDescent="0.3">
      <c r="A1654" s="10"/>
    </row>
    <row r="1655" spans="1:1" x14ac:dyDescent="0.3">
      <c r="A1655" s="10"/>
    </row>
    <row r="1656" spans="1:1" x14ac:dyDescent="0.3">
      <c r="A1656" s="10"/>
    </row>
    <row r="1657" spans="1:1" x14ac:dyDescent="0.3">
      <c r="A1657" s="10"/>
    </row>
    <row r="1658" spans="1:1" x14ac:dyDescent="0.3">
      <c r="A1658" s="10"/>
    </row>
    <row r="1659" spans="1:1" x14ac:dyDescent="0.3">
      <c r="A1659" s="10"/>
    </row>
    <row r="1660" spans="1:1" x14ac:dyDescent="0.3">
      <c r="A1660" s="10"/>
    </row>
    <row r="1661" spans="1:1" x14ac:dyDescent="0.3">
      <c r="A1661" s="10"/>
    </row>
    <row r="1662" spans="1:1" x14ac:dyDescent="0.3">
      <c r="A1662" s="10"/>
    </row>
    <row r="1663" spans="1:1" x14ac:dyDescent="0.3">
      <c r="A1663" s="10"/>
    </row>
    <row r="1664" spans="1:1" x14ac:dyDescent="0.3">
      <c r="A1664" s="10"/>
    </row>
    <row r="1665" spans="1:1" x14ac:dyDescent="0.3">
      <c r="A1665" s="10"/>
    </row>
    <row r="1666" spans="1:1" x14ac:dyDescent="0.3">
      <c r="A1666" s="10"/>
    </row>
    <row r="1667" spans="1:1" x14ac:dyDescent="0.3">
      <c r="A1667" s="10"/>
    </row>
    <row r="1668" spans="1:1" x14ac:dyDescent="0.3">
      <c r="A1668" s="10"/>
    </row>
    <row r="1669" spans="1:1" x14ac:dyDescent="0.3">
      <c r="A1669" s="10"/>
    </row>
    <row r="1670" spans="1:1" x14ac:dyDescent="0.3">
      <c r="A1670" s="10"/>
    </row>
    <row r="1671" spans="1:1" x14ac:dyDescent="0.3">
      <c r="A1671" s="10"/>
    </row>
    <row r="1672" spans="1:1" x14ac:dyDescent="0.3">
      <c r="A1672" s="10"/>
    </row>
    <row r="1673" spans="1:1" x14ac:dyDescent="0.3">
      <c r="A1673" s="10"/>
    </row>
    <row r="1674" spans="1:1" x14ac:dyDescent="0.3">
      <c r="A1674" s="10"/>
    </row>
    <row r="1675" spans="1:1" x14ac:dyDescent="0.3">
      <c r="A1675" s="10"/>
    </row>
    <row r="1676" spans="1:1" x14ac:dyDescent="0.3">
      <c r="A1676" s="10"/>
    </row>
    <row r="1677" spans="1:1" x14ac:dyDescent="0.3">
      <c r="A1677" s="10"/>
    </row>
    <row r="1678" spans="1:1" x14ac:dyDescent="0.3">
      <c r="A1678" s="10"/>
    </row>
    <row r="1679" spans="1:1" x14ac:dyDescent="0.3">
      <c r="A1679" s="10"/>
    </row>
    <row r="1680" spans="1:1" x14ac:dyDescent="0.3">
      <c r="A1680" s="10"/>
    </row>
    <row r="1681" spans="1:1" x14ac:dyDescent="0.3">
      <c r="A1681" s="10"/>
    </row>
    <row r="1682" spans="1:1" x14ac:dyDescent="0.3">
      <c r="A1682" s="10"/>
    </row>
    <row r="1683" spans="1:1" x14ac:dyDescent="0.3">
      <c r="A1683" s="10"/>
    </row>
    <row r="1684" spans="1:1" x14ac:dyDescent="0.3">
      <c r="A1684" s="10"/>
    </row>
    <row r="1685" spans="1:1" x14ac:dyDescent="0.3">
      <c r="A1685" s="10"/>
    </row>
    <row r="1686" spans="1:1" x14ac:dyDescent="0.3">
      <c r="A1686" s="10"/>
    </row>
    <row r="1687" spans="1:1" x14ac:dyDescent="0.3">
      <c r="A1687" s="10"/>
    </row>
    <row r="1688" spans="1:1" x14ac:dyDescent="0.3">
      <c r="A1688" s="10"/>
    </row>
    <row r="1689" spans="1:1" x14ac:dyDescent="0.3">
      <c r="A1689" s="10"/>
    </row>
    <row r="1690" spans="1:1" x14ac:dyDescent="0.3">
      <c r="A1690" s="10"/>
    </row>
    <row r="1691" spans="1:1" x14ac:dyDescent="0.3">
      <c r="A1691" s="10"/>
    </row>
    <row r="1692" spans="1:1" x14ac:dyDescent="0.3">
      <c r="A1692" s="10"/>
    </row>
    <row r="1693" spans="1:1" x14ac:dyDescent="0.3">
      <c r="A1693" s="10"/>
    </row>
    <row r="1694" spans="1:1" x14ac:dyDescent="0.3">
      <c r="A1694" s="10"/>
    </row>
    <row r="1695" spans="1:1" x14ac:dyDescent="0.3">
      <c r="A1695" s="10"/>
    </row>
    <row r="1696" spans="1:1" x14ac:dyDescent="0.3">
      <c r="A1696" s="10"/>
    </row>
    <row r="1697" spans="1:1" x14ac:dyDescent="0.3">
      <c r="A1697" s="10"/>
    </row>
    <row r="1698" spans="1:1" x14ac:dyDescent="0.3">
      <c r="A1698" s="10"/>
    </row>
    <row r="1699" spans="1:1" x14ac:dyDescent="0.3">
      <c r="A1699" s="10"/>
    </row>
    <row r="1700" spans="1:1" x14ac:dyDescent="0.3">
      <c r="A1700" s="10"/>
    </row>
    <row r="1701" spans="1:1" x14ac:dyDescent="0.3">
      <c r="A1701" s="10"/>
    </row>
    <row r="1702" spans="1:1" x14ac:dyDescent="0.3">
      <c r="A1702" s="10"/>
    </row>
    <row r="1703" spans="1:1" x14ac:dyDescent="0.3">
      <c r="A1703" s="10"/>
    </row>
    <row r="1704" spans="1:1" x14ac:dyDescent="0.3">
      <c r="A1704" s="10"/>
    </row>
    <row r="1705" spans="1:1" x14ac:dyDescent="0.3">
      <c r="A1705" s="10"/>
    </row>
    <row r="1706" spans="1:1" x14ac:dyDescent="0.3">
      <c r="A1706" s="10"/>
    </row>
    <row r="1707" spans="1:1" x14ac:dyDescent="0.3">
      <c r="A1707" s="10"/>
    </row>
    <row r="1708" spans="1:1" x14ac:dyDescent="0.3">
      <c r="A1708" s="10"/>
    </row>
    <row r="1709" spans="1:1" x14ac:dyDescent="0.3">
      <c r="A1709" s="10"/>
    </row>
    <row r="1710" spans="1:1" x14ac:dyDescent="0.3">
      <c r="A1710" s="10"/>
    </row>
    <row r="1711" spans="1:1" x14ac:dyDescent="0.3">
      <c r="A1711" s="10"/>
    </row>
    <row r="1712" spans="1:1" x14ac:dyDescent="0.3">
      <c r="A1712" s="10"/>
    </row>
    <row r="1713" spans="1:1" x14ac:dyDescent="0.3">
      <c r="A1713" s="10"/>
    </row>
    <row r="1714" spans="1:1" x14ac:dyDescent="0.3">
      <c r="A1714" s="10"/>
    </row>
    <row r="1715" spans="1:1" x14ac:dyDescent="0.3">
      <c r="A1715" s="10"/>
    </row>
    <row r="1716" spans="1:1" x14ac:dyDescent="0.3">
      <c r="A1716" s="10"/>
    </row>
    <row r="1717" spans="1:1" x14ac:dyDescent="0.3">
      <c r="A1717" s="10"/>
    </row>
    <row r="1718" spans="1:1" x14ac:dyDescent="0.3">
      <c r="A1718" s="10"/>
    </row>
    <row r="1719" spans="1:1" x14ac:dyDescent="0.3">
      <c r="A1719" s="10"/>
    </row>
    <row r="1720" spans="1:1" x14ac:dyDescent="0.3">
      <c r="A1720" s="10"/>
    </row>
    <row r="1721" spans="1:1" x14ac:dyDescent="0.3">
      <c r="A1721" s="10"/>
    </row>
    <row r="1722" spans="1:1" x14ac:dyDescent="0.3">
      <c r="A1722" s="10"/>
    </row>
    <row r="1723" spans="1:1" x14ac:dyDescent="0.3">
      <c r="A1723" s="10"/>
    </row>
    <row r="1724" spans="1:1" x14ac:dyDescent="0.3">
      <c r="A1724" s="10"/>
    </row>
    <row r="1725" spans="1:1" x14ac:dyDescent="0.3">
      <c r="A1725" s="10"/>
    </row>
    <row r="1726" spans="1:1" x14ac:dyDescent="0.3">
      <c r="A1726" s="10"/>
    </row>
    <row r="1727" spans="1:1" x14ac:dyDescent="0.3">
      <c r="A1727" s="10"/>
    </row>
    <row r="1728" spans="1:1" x14ac:dyDescent="0.3">
      <c r="A1728" s="10"/>
    </row>
    <row r="1729" spans="1:1" x14ac:dyDescent="0.3">
      <c r="A1729" s="10"/>
    </row>
    <row r="1730" spans="1:1" x14ac:dyDescent="0.3">
      <c r="A1730" s="10"/>
    </row>
    <row r="1731" spans="1:1" x14ac:dyDescent="0.3">
      <c r="A1731" s="10"/>
    </row>
    <row r="1732" spans="1:1" x14ac:dyDescent="0.3">
      <c r="A1732" s="10"/>
    </row>
    <row r="1733" spans="1:1" x14ac:dyDescent="0.3">
      <c r="A1733" s="10"/>
    </row>
    <row r="1734" spans="1:1" x14ac:dyDescent="0.3">
      <c r="A1734" s="10"/>
    </row>
    <row r="1735" spans="1:1" x14ac:dyDescent="0.3">
      <c r="A1735" s="10"/>
    </row>
    <row r="1736" spans="1:1" x14ac:dyDescent="0.3">
      <c r="A1736" s="10"/>
    </row>
    <row r="1737" spans="1:1" x14ac:dyDescent="0.3">
      <c r="A1737" s="10"/>
    </row>
    <row r="1738" spans="1:1" x14ac:dyDescent="0.3">
      <c r="A1738" s="10"/>
    </row>
    <row r="1739" spans="1:1" x14ac:dyDescent="0.3">
      <c r="A1739" s="10"/>
    </row>
    <row r="1740" spans="1:1" x14ac:dyDescent="0.3">
      <c r="A1740" s="10"/>
    </row>
    <row r="1741" spans="1:1" x14ac:dyDescent="0.3">
      <c r="A1741" s="10"/>
    </row>
    <row r="1742" spans="1:1" x14ac:dyDescent="0.3">
      <c r="A1742" s="10"/>
    </row>
    <row r="1743" spans="1:1" x14ac:dyDescent="0.3">
      <c r="A1743" s="10"/>
    </row>
    <row r="1744" spans="1:1" x14ac:dyDescent="0.3">
      <c r="A1744" s="10"/>
    </row>
    <row r="1745" spans="1:1" x14ac:dyDescent="0.3">
      <c r="A1745" s="10"/>
    </row>
    <row r="1746" spans="1:1" x14ac:dyDescent="0.3">
      <c r="A1746" s="10"/>
    </row>
    <row r="1747" spans="1:1" x14ac:dyDescent="0.3">
      <c r="A1747" s="10"/>
    </row>
    <row r="1748" spans="1:1" x14ac:dyDescent="0.3">
      <c r="A1748" s="10"/>
    </row>
    <row r="1749" spans="1:1" x14ac:dyDescent="0.3">
      <c r="A1749" s="10"/>
    </row>
    <row r="1750" spans="1:1" x14ac:dyDescent="0.3">
      <c r="A1750" s="10"/>
    </row>
    <row r="1751" spans="1:1" x14ac:dyDescent="0.3">
      <c r="A1751" s="10"/>
    </row>
    <row r="1752" spans="1:1" x14ac:dyDescent="0.3">
      <c r="A1752" s="10"/>
    </row>
    <row r="1753" spans="1:1" x14ac:dyDescent="0.3">
      <c r="A1753" s="10"/>
    </row>
    <row r="1754" spans="1:1" x14ac:dyDescent="0.3">
      <c r="A1754" s="10"/>
    </row>
    <row r="1755" spans="1:1" x14ac:dyDescent="0.3">
      <c r="A1755" s="10"/>
    </row>
    <row r="1756" spans="1:1" x14ac:dyDescent="0.3">
      <c r="A1756" s="10"/>
    </row>
    <row r="1757" spans="1:1" x14ac:dyDescent="0.3">
      <c r="A1757" s="10"/>
    </row>
    <row r="1758" spans="1:1" x14ac:dyDescent="0.3">
      <c r="A1758" s="10"/>
    </row>
    <row r="1759" spans="1:1" x14ac:dyDescent="0.3">
      <c r="A1759" s="10"/>
    </row>
    <row r="1760" spans="1:1" x14ac:dyDescent="0.3">
      <c r="A1760" s="10"/>
    </row>
    <row r="1761" spans="1:1" x14ac:dyDescent="0.3">
      <c r="A1761" s="10"/>
    </row>
    <row r="1762" spans="1:1" x14ac:dyDescent="0.3">
      <c r="A1762" s="10"/>
    </row>
    <row r="1763" spans="1:1" x14ac:dyDescent="0.3">
      <c r="A1763" s="10"/>
    </row>
    <row r="1764" spans="1:1" x14ac:dyDescent="0.3">
      <c r="A1764" s="10"/>
    </row>
    <row r="1765" spans="1:1" x14ac:dyDescent="0.3">
      <c r="A1765" s="10"/>
    </row>
    <row r="1766" spans="1:1" x14ac:dyDescent="0.3">
      <c r="A1766" s="10"/>
    </row>
    <row r="1767" spans="1:1" x14ac:dyDescent="0.3">
      <c r="A1767" s="10"/>
    </row>
    <row r="1768" spans="1:1" x14ac:dyDescent="0.3">
      <c r="A1768" s="10"/>
    </row>
    <row r="1769" spans="1:1" x14ac:dyDescent="0.3">
      <c r="A1769" s="10"/>
    </row>
    <row r="1770" spans="1:1" x14ac:dyDescent="0.3">
      <c r="A1770" s="10"/>
    </row>
    <row r="1771" spans="1:1" x14ac:dyDescent="0.3">
      <c r="A1771" s="10"/>
    </row>
    <row r="1772" spans="1:1" x14ac:dyDescent="0.3">
      <c r="A1772" s="10"/>
    </row>
    <row r="1773" spans="1:1" x14ac:dyDescent="0.3">
      <c r="A1773" s="10"/>
    </row>
    <row r="1774" spans="1:1" x14ac:dyDescent="0.3">
      <c r="A1774" s="10"/>
    </row>
    <row r="1775" spans="1:1" x14ac:dyDescent="0.3">
      <c r="A1775" s="10"/>
    </row>
    <row r="1776" spans="1:1" x14ac:dyDescent="0.3">
      <c r="A1776" s="10"/>
    </row>
    <row r="1777" spans="1:1" x14ac:dyDescent="0.3">
      <c r="A1777" s="10"/>
    </row>
    <row r="1778" spans="1:1" x14ac:dyDescent="0.3">
      <c r="A1778" s="10"/>
    </row>
    <row r="1779" spans="1:1" x14ac:dyDescent="0.3">
      <c r="A1779" s="10"/>
    </row>
    <row r="1780" spans="1:1" x14ac:dyDescent="0.3">
      <c r="A1780" s="10"/>
    </row>
    <row r="1781" spans="1:1" x14ac:dyDescent="0.3">
      <c r="A1781" s="10"/>
    </row>
    <row r="1782" spans="1:1" x14ac:dyDescent="0.3">
      <c r="A1782" s="10"/>
    </row>
    <row r="1783" spans="1:1" x14ac:dyDescent="0.3">
      <c r="A1783" s="10"/>
    </row>
    <row r="1784" spans="1:1" x14ac:dyDescent="0.3">
      <c r="A1784" s="10"/>
    </row>
    <row r="1785" spans="1:1" x14ac:dyDescent="0.3">
      <c r="A1785" s="10"/>
    </row>
    <row r="1786" spans="1:1" x14ac:dyDescent="0.3">
      <c r="A1786" s="10"/>
    </row>
    <row r="1787" spans="1:1" x14ac:dyDescent="0.3">
      <c r="A1787" s="10"/>
    </row>
    <row r="1788" spans="1:1" x14ac:dyDescent="0.3">
      <c r="A1788" s="10"/>
    </row>
    <row r="1789" spans="1:1" x14ac:dyDescent="0.3">
      <c r="A1789" s="10"/>
    </row>
    <row r="1790" spans="1:1" x14ac:dyDescent="0.3">
      <c r="A1790" s="10"/>
    </row>
    <row r="1791" spans="1:1" x14ac:dyDescent="0.3">
      <c r="A1791" s="10"/>
    </row>
    <row r="1792" spans="1:1" x14ac:dyDescent="0.3">
      <c r="A1792" s="10"/>
    </row>
    <row r="1793" spans="1:1" x14ac:dyDescent="0.3">
      <c r="A1793" s="10"/>
    </row>
    <row r="1794" spans="1:1" x14ac:dyDescent="0.3">
      <c r="A1794" s="10"/>
    </row>
    <row r="1795" spans="1:1" x14ac:dyDescent="0.3">
      <c r="A1795" s="10"/>
    </row>
    <row r="1796" spans="1:1" x14ac:dyDescent="0.3">
      <c r="A1796" s="10"/>
    </row>
    <row r="1797" spans="1:1" x14ac:dyDescent="0.3">
      <c r="A1797" s="10"/>
    </row>
    <row r="1798" spans="1:1" x14ac:dyDescent="0.3">
      <c r="A1798" s="10"/>
    </row>
    <row r="1799" spans="1:1" x14ac:dyDescent="0.3">
      <c r="A1799" s="10"/>
    </row>
    <row r="1800" spans="1:1" x14ac:dyDescent="0.3">
      <c r="A1800" s="10"/>
    </row>
    <row r="1801" spans="1:1" x14ac:dyDescent="0.3">
      <c r="A1801" s="10"/>
    </row>
    <row r="1802" spans="1:1" x14ac:dyDescent="0.3">
      <c r="A1802" s="10"/>
    </row>
    <row r="1803" spans="1:1" x14ac:dyDescent="0.3">
      <c r="A1803" s="10"/>
    </row>
    <row r="1804" spans="1:1" x14ac:dyDescent="0.3">
      <c r="A1804" s="10"/>
    </row>
    <row r="1805" spans="1:1" x14ac:dyDescent="0.3">
      <c r="A1805" s="10"/>
    </row>
    <row r="1806" spans="1:1" x14ac:dyDescent="0.3">
      <c r="A1806" s="10"/>
    </row>
    <row r="1807" spans="1:1" x14ac:dyDescent="0.3">
      <c r="A1807" s="10"/>
    </row>
    <row r="1808" spans="1:1" x14ac:dyDescent="0.3">
      <c r="A1808" s="10"/>
    </row>
    <row r="1809" spans="1:1" x14ac:dyDescent="0.3">
      <c r="A1809" s="10"/>
    </row>
    <row r="1810" spans="1:1" x14ac:dyDescent="0.3">
      <c r="A1810" s="10"/>
    </row>
    <row r="1811" spans="1:1" x14ac:dyDescent="0.3">
      <c r="A1811" s="10"/>
    </row>
    <row r="1812" spans="1:1" x14ac:dyDescent="0.3">
      <c r="A1812" s="10"/>
    </row>
    <row r="1813" spans="1:1" x14ac:dyDescent="0.3">
      <c r="A1813" s="10"/>
    </row>
    <row r="1814" spans="1:1" x14ac:dyDescent="0.3">
      <c r="A1814" s="10"/>
    </row>
    <row r="1815" spans="1:1" x14ac:dyDescent="0.3">
      <c r="A1815" s="10"/>
    </row>
    <row r="1816" spans="1:1" x14ac:dyDescent="0.3">
      <c r="A1816" s="10"/>
    </row>
    <row r="1817" spans="1:1" x14ac:dyDescent="0.3">
      <c r="A1817" s="10"/>
    </row>
    <row r="1818" spans="1:1" x14ac:dyDescent="0.3">
      <c r="A1818" s="10"/>
    </row>
    <row r="1819" spans="1:1" x14ac:dyDescent="0.3">
      <c r="A1819" s="10"/>
    </row>
    <row r="1820" spans="1:1" x14ac:dyDescent="0.3">
      <c r="A1820" s="10"/>
    </row>
    <row r="1821" spans="1:1" x14ac:dyDescent="0.3">
      <c r="A1821" s="10"/>
    </row>
    <row r="1822" spans="1:1" x14ac:dyDescent="0.3">
      <c r="A1822" s="10"/>
    </row>
    <row r="1823" spans="1:1" x14ac:dyDescent="0.3">
      <c r="A1823" s="10"/>
    </row>
    <row r="1824" spans="1:1" x14ac:dyDescent="0.3">
      <c r="A1824" s="10"/>
    </row>
    <row r="1825" spans="1:1" x14ac:dyDescent="0.3">
      <c r="A1825" s="10"/>
    </row>
    <row r="1826" spans="1:1" x14ac:dyDescent="0.3">
      <c r="A1826" s="10"/>
    </row>
    <row r="1827" spans="1:1" x14ac:dyDescent="0.3">
      <c r="A1827" s="10"/>
    </row>
    <row r="1828" spans="1:1" x14ac:dyDescent="0.3">
      <c r="A1828" s="10"/>
    </row>
    <row r="1829" spans="1:1" x14ac:dyDescent="0.3">
      <c r="A1829" s="10"/>
    </row>
    <row r="1830" spans="1:1" x14ac:dyDescent="0.3">
      <c r="A1830" s="10"/>
    </row>
    <row r="1831" spans="1:1" x14ac:dyDescent="0.3">
      <c r="A1831" s="10"/>
    </row>
    <row r="1832" spans="1:1" x14ac:dyDescent="0.3">
      <c r="A1832" s="10"/>
    </row>
    <row r="1833" spans="1:1" x14ac:dyDescent="0.3">
      <c r="A1833" s="10"/>
    </row>
    <row r="1834" spans="1:1" x14ac:dyDescent="0.3">
      <c r="A1834" s="10"/>
    </row>
    <row r="1835" spans="1:1" x14ac:dyDescent="0.3">
      <c r="A1835" s="10"/>
    </row>
    <row r="1836" spans="1:1" x14ac:dyDescent="0.3">
      <c r="A1836" s="10"/>
    </row>
    <row r="1837" spans="1:1" x14ac:dyDescent="0.3">
      <c r="A1837" s="10"/>
    </row>
    <row r="1838" spans="1:1" x14ac:dyDescent="0.3">
      <c r="A1838" s="10"/>
    </row>
    <row r="1839" spans="1:1" x14ac:dyDescent="0.3">
      <c r="A1839" s="10"/>
    </row>
    <row r="1840" spans="1:1" x14ac:dyDescent="0.3">
      <c r="A1840" s="10"/>
    </row>
    <row r="1841" spans="1:1" x14ac:dyDescent="0.3">
      <c r="A1841" s="10"/>
    </row>
    <row r="1842" spans="1:1" x14ac:dyDescent="0.3">
      <c r="A1842" s="10"/>
    </row>
    <row r="1843" spans="1:1" x14ac:dyDescent="0.3">
      <c r="A1843" s="10"/>
    </row>
    <row r="1844" spans="1:1" x14ac:dyDescent="0.3">
      <c r="A1844" s="10"/>
    </row>
    <row r="1845" spans="1:1" x14ac:dyDescent="0.3">
      <c r="A1845" s="10"/>
    </row>
    <row r="1846" spans="1:1" x14ac:dyDescent="0.3">
      <c r="A1846" s="10"/>
    </row>
    <row r="1847" spans="1:1" x14ac:dyDescent="0.3">
      <c r="A1847" s="10"/>
    </row>
    <row r="1848" spans="1:1" x14ac:dyDescent="0.3">
      <c r="A1848" s="10"/>
    </row>
    <row r="1849" spans="1:1" x14ac:dyDescent="0.3">
      <c r="A1849" s="10"/>
    </row>
    <row r="1850" spans="1:1" x14ac:dyDescent="0.3">
      <c r="A1850" s="10"/>
    </row>
    <row r="1851" spans="1:1" x14ac:dyDescent="0.3">
      <c r="A1851" s="10"/>
    </row>
    <row r="1852" spans="1:1" x14ac:dyDescent="0.3">
      <c r="A1852" s="10"/>
    </row>
    <row r="1853" spans="1:1" x14ac:dyDescent="0.3">
      <c r="A1853" s="10"/>
    </row>
    <row r="1854" spans="1:1" x14ac:dyDescent="0.3">
      <c r="A1854" s="10"/>
    </row>
    <row r="1855" spans="1:1" x14ac:dyDescent="0.3">
      <c r="A1855" s="10"/>
    </row>
    <row r="1856" spans="1:1" x14ac:dyDescent="0.3">
      <c r="A1856" s="10"/>
    </row>
    <row r="1857" spans="1:1" x14ac:dyDescent="0.3">
      <c r="A1857" s="10"/>
    </row>
    <row r="1858" spans="1:1" x14ac:dyDescent="0.3">
      <c r="A1858" s="10"/>
    </row>
    <row r="1859" spans="1:1" x14ac:dyDescent="0.3">
      <c r="A1859" s="10"/>
    </row>
    <row r="1860" spans="1:1" x14ac:dyDescent="0.3">
      <c r="A1860" s="10"/>
    </row>
    <row r="1861" spans="1:1" x14ac:dyDescent="0.3">
      <c r="A1861" s="10"/>
    </row>
    <row r="1862" spans="1:1" x14ac:dyDescent="0.3">
      <c r="A1862" s="10"/>
    </row>
    <row r="1863" spans="1:1" x14ac:dyDescent="0.3">
      <c r="A1863" s="10"/>
    </row>
    <row r="1864" spans="1:1" x14ac:dyDescent="0.3">
      <c r="A1864" s="10"/>
    </row>
    <row r="1865" spans="1:1" x14ac:dyDescent="0.3">
      <c r="A1865" s="10"/>
    </row>
    <row r="1866" spans="1:1" x14ac:dyDescent="0.3">
      <c r="A1866" s="10"/>
    </row>
    <row r="1867" spans="1:1" x14ac:dyDescent="0.3">
      <c r="A1867" s="10"/>
    </row>
    <row r="1868" spans="1:1" x14ac:dyDescent="0.3">
      <c r="A1868" s="10"/>
    </row>
    <row r="1869" spans="1:1" x14ac:dyDescent="0.3">
      <c r="A1869" s="10"/>
    </row>
    <row r="1870" spans="1:1" x14ac:dyDescent="0.3">
      <c r="A1870" s="10"/>
    </row>
    <row r="1871" spans="1:1" x14ac:dyDescent="0.3">
      <c r="A1871" s="10"/>
    </row>
    <row r="1872" spans="1:1" x14ac:dyDescent="0.3">
      <c r="A1872" s="10"/>
    </row>
    <row r="1873" spans="1:1" x14ac:dyDescent="0.3">
      <c r="A1873" s="10"/>
    </row>
    <row r="1874" spans="1:1" x14ac:dyDescent="0.3">
      <c r="A1874" s="10"/>
    </row>
    <row r="1875" spans="1:1" x14ac:dyDescent="0.3">
      <c r="A1875" s="10"/>
    </row>
    <row r="1876" spans="1:1" x14ac:dyDescent="0.3">
      <c r="A1876" s="10"/>
    </row>
    <row r="1877" spans="1:1" x14ac:dyDescent="0.3">
      <c r="A1877" s="10"/>
    </row>
    <row r="1878" spans="1:1" x14ac:dyDescent="0.3">
      <c r="A1878" s="10"/>
    </row>
    <row r="1879" spans="1:1" x14ac:dyDescent="0.3">
      <c r="A1879" s="10"/>
    </row>
    <row r="1880" spans="1:1" x14ac:dyDescent="0.3">
      <c r="A1880" s="10"/>
    </row>
    <row r="1881" spans="1:1" x14ac:dyDescent="0.3">
      <c r="A1881" s="10"/>
    </row>
    <row r="1882" spans="1:1" x14ac:dyDescent="0.3">
      <c r="A1882" s="10"/>
    </row>
    <row r="1883" spans="1:1" x14ac:dyDescent="0.3">
      <c r="A1883" s="10"/>
    </row>
    <row r="1884" spans="1:1" x14ac:dyDescent="0.3">
      <c r="A1884" s="10"/>
    </row>
    <row r="1885" spans="1:1" x14ac:dyDescent="0.3">
      <c r="A1885" s="10"/>
    </row>
    <row r="1886" spans="1:1" x14ac:dyDescent="0.3">
      <c r="A1886" s="10"/>
    </row>
    <row r="1887" spans="1:1" x14ac:dyDescent="0.3">
      <c r="A1887" s="10"/>
    </row>
    <row r="1888" spans="1:1" x14ac:dyDescent="0.3">
      <c r="A1888" s="10"/>
    </row>
    <row r="1889" spans="1:1" x14ac:dyDescent="0.3">
      <c r="A1889" s="10"/>
    </row>
    <row r="1890" spans="1:1" x14ac:dyDescent="0.3">
      <c r="A1890" s="10"/>
    </row>
    <row r="1891" spans="1:1" x14ac:dyDescent="0.3">
      <c r="A1891" s="10"/>
    </row>
    <row r="1892" spans="1:1" x14ac:dyDescent="0.3">
      <c r="A1892" s="10"/>
    </row>
    <row r="1893" spans="1:1" x14ac:dyDescent="0.3">
      <c r="A1893" s="10"/>
    </row>
    <row r="1894" spans="1:1" x14ac:dyDescent="0.3">
      <c r="A1894" s="10"/>
    </row>
    <row r="1895" spans="1:1" x14ac:dyDescent="0.3">
      <c r="A1895" s="10"/>
    </row>
    <row r="1896" spans="1:1" x14ac:dyDescent="0.3">
      <c r="A1896" s="10"/>
    </row>
    <row r="1897" spans="1:1" x14ac:dyDescent="0.3">
      <c r="A1897" s="10"/>
    </row>
    <row r="1898" spans="1:1" x14ac:dyDescent="0.3">
      <c r="A1898" s="10"/>
    </row>
    <row r="1899" spans="1:1" x14ac:dyDescent="0.3">
      <c r="A1899" s="10"/>
    </row>
    <row r="1900" spans="1:1" x14ac:dyDescent="0.3">
      <c r="A1900" s="10"/>
    </row>
    <row r="1901" spans="1:1" x14ac:dyDescent="0.3">
      <c r="A1901" s="10"/>
    </row>
    <row r="1902" spans="1:1" x14ac:dyDescent="0.3">
      <c r="A1902" s="10"/>
    </row>
    <row r="1903" spans="1:1" x14ac:dyDescent="0.3">
      <c r="A1903" s="10"/>
    </row>
    <row r="1904" spans="1:1" x14ac:dyDescent="0.3">
      <c r="A1904" s="10"/>
    </row>
    <row r="1905" spans="1:1" x14ac:dyDescent="0.3">
      <c r="A1905" s="10"/>
    </row>
    <row r="1906" spans="1:1" x14ac:dyDescent="0.3">
      <c r="A1906" s="10"/>
    </row>
    <row r="1907" spans="1:1" x14ac:dyDescent="0.3">
      <c r="A1907" s="10"/>
    </row>
    <row r="1908" spans="1:1" x14ac:dyDescent="0.3">
      <c r="A1908" s="10"/>
    </row>
    <row r="1909" spans="1:1" x14ac:dyDescent="0.3">
      <c r="A1909" s="10"/>
    </row>
    <row r="1910" spans="1:1" x14ac:dyDescent="0.3">
      <c r="A1910" s="10"/>
    </row>
    <row r="1911" spans="1:1" x14ac:dyDescent="0.3">
      <c r="A1911" s="10"/>
    </row>
    <row r="1912" spans="1:1" x14ac:dyDescent="0.3">
      <c r="A1912" s="10"/>
    </row>
    <row r="1913" spans="1:1" x14ac:dyDescent="0.3">
      <c r="A1913" s="10"/>
    </row>
    <row r="1914" spans="1:1" x14ac:dyDescent="0.3">
      <c r="A1914" s="10"/>
    </row>
    <row r="1915" spans="1:1" x14ac:dyDescent="0.3">
      <c r="A1915" s="10"/>
    </row>
    <row r="1916" spans="1:1" x14ac:dyDescent="0.3">
      <c r="A1916" s="10"/>
    </row>
    <row r="1917" spans="1:1" x14ac:dyDescent="0.3">
      <c r="A1917" s="10"/>
    </row>
    <row r="1918" spans="1:1" x14ac:dyDescent="0.3">
      <c r="A1918" s="10"/>
    </row>
    <row r="1919" spans="1:1" x14ac:dyDescent="0.3">
      <c r="A1919" s="10"/>
    </row>
    <row r="1920" spans="1:1" x14ac:dyDescent="0.3">
      <c r="A1920" s="10"/>
    </row>
    <row r="1921" spans="1:1" x14ac:dyDescent="0.3">
      <c r="A1921" s="10"/>
    </row>
    <row r="1922" spans="1:1" x14ac:dyDescent="0.3">
      <c r="A1922" s="10"/>
    </row>
    <row r="1923" spans="1:1" x14ac:dyDescent="0.3">
      <c r="A1923" s="10"/>
    </row>
    <row r="1924" spans="1:1" x14ac:dyDescent="0.3">
      <c r="A1924" s="10"/>
    </row>
    <row r="1925" spans="1:1" x14ac:dyDescent="0.3">
      <c r="A1925" s="10"/>
    </row>
    <row r="1926" spans="1:1" x14ac:dyDescent="0.3">
      <c r="A1926" s="10"/>
    </row>
    <row r="1927" spans="1:1" x14ac:dyDescent="0.3">
      <c r="A1927" s="10"/>
    </row>
    <row r="1928" spans="1:1" x14ac:dyDescent="0.3">
      <c r="A1928" s="10"/>
    </row>
    <row r="1929" spans="1:1" x14ac:dyDescent="0.3">
      <c r="A1929" s="10"/>
    </row>
    <row r="1930" spans="1:1" x14ac:dyDescent="0.3">
      <c r="A1930" s="10"/>
    </row>
    <row r="1931" spans="1:1" x14ac:dyDescent="0.3">
      <c r="A1931" s="10"/>
    </row>
    <row r="1932" spans="1:1" x14ac:dyDescent="0.3">
      <c r="A1932" s="10"/>
    </row>
    <row r="1933" spans="1:1" x14ac:dyDescent="0.3">
      <c r="A1933" s="10"/>
    </row>
    <row r="1934" spans="1:1" x14ac:dyDescent="0.3">
      <c r="A1934" s="10"/>
    </row>
    <row r="1935" spans="1:1" x14ac:dyDescent="0.3">
      <c r="A1935" s="10"/>
    </row>
    <row r="1936" spans="1:1" x14ac:dyDescent="0.3">
      <c r="A1936" s="10"/>
    </row>
    <row r="1937" spans="1:1" x14ac:dyDescent="0.3">
      <c r="A1937" s="10"/>
    </row>
    <row r="1938" spans="1:1" x14ac:dyDescent="0.3">
      <c r="A1938" s="10"/>
    </row>
    <row r="1939" spans="1:1" x14ac:dyDescent="0.3">
      <c r="A1939" s="10"/>
    </row>
    <row r="1940" spans="1:1" x14ac:dyDescent="0.3">
      <c r="A1940" s="10"/>
    </row>
    <row r="1941" spans="1:1" x14ac:dyDescent="0.3">
      <c r="A1941" s="10"/>
    </row>
    <row r="1942" spans="1:1" x14ac:dyDescent="0.3">
      <c r="A1942" s="10"/>
    </row>
    <row r="1943" spans="1:1" x14ac:dyDescent="0.3">
      <c r="A1943" s="10"/>
    </row>
    <row r="1944" spans="1:1" x14ac:dyDescent="0.3">
      <c r="A1944" s="10"/>
    </row>
    <row r="1945" spans="1:1" x14ac:dyDescent="0.3">
      <c r="A1945" s="10"/>
    </row>
    <row r="1946" spans="1:1" x14ac:dyDescent="0.3">
      <c r="A1946" s="10"/>
    </row>
    <row r="1947" spans="1:1" x14ac:dyDescent="0.3">
      <c r="A1947" s="10"/>
    </row>
    <row r="1948" spans="1:1" x14ac:dyDescent="0.3">
      <c r="A1948" s="10"/>
    </row>
    <row r="1949" spans="1:1" x14ac:dyDescent="0.3">
      <c r="A1949" s="10"/>
    </row>
    <row r="1950" spans="1:1" x14ac:dyDescent="0.3">
      <c r="A1950" s="10"/>
    </row>
    <row r="1951" spans="1:1" x14ac:dyDescent="0.3">
      <c r="A1951" s="10"/>
    </row>
    <row r="1952" spans="1:1" x14ac:dyDescent="0.3">
      <c r="A1952" s="10"/>
    </row>
    <row r="1953" spans="1:1" x14ac:dyDescent="0.3">
      <c r="A1953" s="10"/>
    </row>
    <row r="1954" spans="1:1" x14ac:dyDescent="0.3">
      <c r="A1954" s="10"/>
    </row>
    <row r="1955" spans="1:1" x14ac:dyDescent="0.3">
      <c r="A1955" s="10"/>
    </row>
    <row r="1956" spans="1:1" x14ac:dyDescent="0.3">
      <c r="A1956" s="10"/>
    </row>
    <row r="1957" spans="1:1" x14ac:dyDescent="0.3">
      <c r="A1957" s="10"/>
    </row>
    <row r="1958" spans="1:1" x14ac:dyDescent="0.3">
      <c r="A1958" s="10"/>
    </row>
    <row r="1959" spans="1:1" x14ac:dyDescent="0.3">
      <c r="A1959" s="10"/>
    </row>
    <row r="1960" spans="1:1" x14ac:dyDescent="0.3">
      <c r="A1960" s="10"/>
    </row>
    <row r="1961" spans="1:1" x14ac:dyDescent="0.3">
      <c r="A1961" s="10"/>
    </row>
    <row r="1962" spans="1:1" x14ac:dyDescent="0.3">
      <c r="A1962" s="10"/>
    </row>
    <row r="1963" spans="1:1" x14ac:dyDescent="0.3">
      <c r="A1963" s="10"/>
    </row>
    <row r="1964" spans="1:1" x14ac:dyDescent="0.3">
      <c r="A1964" s="10"/>
    </row>
    <row r="1965" spans="1:1" x14ac:dyDescent="0.3">
      <c r="A1965" s="10"/>
    </row>
    <row r="1966" spans="1:1" x14ac:dyDescent="0.3">
      <c r="A1966" s="10"/>
    </row>
    <row r="1967" spans="1:1" x14ac:dyDescent="0.3">
      <c r="A1967" s="10"/>
    </row>
    <row r="1968" spans="1:1" x14ac:dyDescent="0.3">
      <c r="A1968" s="10"/>
    </row>
    <row r="1969" spans="1:1" x14ac:dyDescent="0.3">
      <c r="A1969" s="10"/>
    </row>
    <row r="1970" spans="1:1" x14ac:dyDescent="0.3">
      <c r="A1970" s="10"/>
    </row>
    <row r="1971" spans="1:1" x14ac:dyDescent="0.3">
      <c r="A1971" s="10"/>
    </row>
    <row r="1972" spans="1:1" x14ac:dyDescent="0.3">
      <c r="A1972" s="10"/>
    </row>
    <row r="1973" spans="1:1" x14ac:dyDescent="0.3">
      <c r="A1973" s="10"/>
    </row>
    <row r="1974" spans="1:1" x14ac:dyDescent="0.3">
      <c r="A1974" s="10"/>
    </row>
    <row r="1975" spans="1:1" x14ac:dyDescent="0.3">
      <c r="A1975" s="10"/>
    </row>
    <row r="1976" spans="1:1" x14ac:dyDescent="0.3">
      <c r="A1976" s="10"/>
    </row>
    <row r="1977" spans="1:1" x14ac:dyDescent="0.3">
      <c r="A1977" s="10"/>
    </row>
    <row r="1978" spans="1:1" x14ac:dyDescent="0.3">
      <c r="A1978" s="10"/>
    </row>
    <row r="1979" spans="1:1" x14ac:dyDescent="0.3">
      <c r="A1979" s="10"/>
    </row>
    <row r="1980" spans="1:1" x14ac:dyDescent="0.3">
      <c r="A1980" s="10"/>
    </row>
    <row r="1981" spans="1:1" x14ac:dyDescent="0.3">
      <c r="A1981" s="10"/>
    </row>
    <row r="1982" spans="1:1" x14ac:dyDescent="0.3">
      <c r="A1982" s="10"/>
    </row>
    <row r="1983" spans="1:1" x14ac:dyDescent="0.3">
      <c r="A1983" s="10"/>
    </row>
    <row r="1984" spans="1:1" x14ac:dyDescent="0.3">
      <c r="A1984" s="10"/>
    </row>
    <row r="1985" spans="1:1" x14ac:dyDescent="0.3">
      <c r="A1985" s="10"/>
    </row>
    <row r="1986" spans="1:1" x14ac:dyDescent="0.3">
      <c r="A1986" s="10"/>
    </row>
    <row r="1987" spans="1:1" x14ac:dyDescent="0.3">
      <c r="A1987" s="10"/>
    </row>
    <row r="1988" spans="1:1" x14ac:dyDescent="0.3">
      <c r="A1988" s="10"/>
    </row>
    <row r="1989" spans="1:1" x14ac:dyDescent="0.3">
      <c r="A1989" s="10"/>
    </row>
    <row r="1990" spans="1:1" x14ac:dyDescent="0.3">
      <c r="A1990" s="10"/>
    </row>
    <row r="1991" spans="1:1" x14ac:dyDescent="0.3">
      <c r="A1991" s="10"/>
    </row>
    <row r="1992" spans="1:1" x14ac:dyDescent="0.3">
      <c r="A1992" s="10"/>
    </row>
    <row r="1993" spans="1:1" x14ac:dyDescent="0.3">
      <c r="A1993" s="10"/>
    </row>
    <row r="1994" spans="1:1" x14ac:dyDescent="0.3">
      <c r="A1994" s="10"/>
    </row>
    <row r="1995" spans="1:1" x14ac:dyDescent="0.3">
      <c r="A1995" s="10"/>
    </row>
    <row r="1996" spans="1:1" x14ac:dyDescent="0.3">
      <c r="A1996" s="10"/>
    </row>
    <row r="1997" spans="1:1" x14ac:dyDescent="0.3">
      <c r="A1997" s="10"/>
    </row>
    <row r="1998" spans="1:1" x14ac:dyDescent="0.3">
      <c r="A1998" s="10"/>
    </row>
    <row r="1999" spans="1:1" x14ac:dyDescent="0.3">
      <c r="A1999" s="10"/>
    </row>
    <row r="2000" spans="1:1" x14ac:dyDescent="0.3">
      <c r="A2000" s="10"/>
    </row>
  </sheetData>
  <dataValidations count="2">
    <dataValidation type="list" allowBlank="1" showInputMessage="1" showErrorMessage="1" sqref="C6:C2000" xr:uid="{AC815D79-55A7-4A9D-8EB7-E26008CA61C0}">
      <formula1>"Equity,Equity MF,ETF,Debt MF"</formula1>
    </dataValidation>
    <dataValidation type="list" allowBlank="1" showInputMessage="1" showErrorMessage="1" sqref="D6:D2000" xr:uid="{898512CD-C8C7-4A17-9B8A-C5D567EBB940}">
      <formula1>"BUY,SELL"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F7689-BD66-40F6-9EA4-7EF88F1EEB26}">
  <sheetPr codeName="Sheet5">
    <tabColor rgb="FF2E75B6"/>
  </sheetPr>
  <dimension ref="A1:F23"/>
  <sheetViews>
    <sheetView showGridLines="0" workbookViewId="0">
      <pane ySplit="5" topLeftCell="A6" activePane="bottomLeft" state="frozen"/>
      <selection pane="bottomLeft"/>
    </sheetView>
  </sheetViews>
  <sheetFormatPr defaultRowHeight="13.8" x14ac:dyDescent="0.3"/>
  <cols>
    <col min="1" max="1" width="14.77734375" style="3" customWidth="1"/>
    <col min="2" max="2" width="30.77734375" style="3" customWidth="1"/>
    <col min="3" max="3" width="20.77734375" style="3" customWidth="1"/>
    <col min="4" max="4" width="12.77734375" style="18" customWidth="1"/>
    <col min="5" max="5" width="14.77734375" style="18" customWidth="1"/>
    <col min="6" max="6" width="12.77734375" style="18" customWidth="1"/>
    <col min="7" max="16384" width="8.88671875" style="3"/>
  </cols>
  <sheetData>
    <row r="1" spans="1:6" ht="21" x14ac:dyDescent="0.4">
      <c r="A1" s="4" t="s">
        <v>165</v>
      </c>
    </row>
    <row r="2" spans="1:6" x14ac:dyDescent="0.3">
      <c r="A2" s="5" t="s">
        <v>166</v>
      </c>
    </row>
    <row r="5" spans="1:6" ht="30" customHeight="1" x14ac:dyDescent="0.3">
      <c r="A5" s="17" t="s">
        <v>1</v>
      </c>
      <c r="B5" s="17" t="s">
        <v>80</v>
      </c>
      <c r="C5" s="17" t="s">
        <v>81</v>
      </c>
      <c r="D5" s="19" t="s">
        <v>82</v>
      </c>
      <c r="E5" s="19" t="s">
        <v>167</v>
      </c>
      <c r="F5" s="19" t="s">
        <v>168</v>
      </c>
    </row>
    <row r="6" spans="1:6" x14ac:dyDescent="0.3">
      <c r="A6" s="3" t="s">
        <v>10</v>
      </c>
      <c r="B6" s="3" t="s">
        <v>83</v>
      </c>
      <c r="C6" s="3" t="s">
        <v>84</v>
      </c>
      <c r="D6" s="18">
        <v>1450</v>
      </c>
      <c r="E6" s="18" t="str" cm="1">
        <f t="array" aca="1" ref="E6" ca="1">IF(st_PriceSource&lt;&gt;"Live","",IFERROR(_xlfn.LET(_xlpm.h,_xlfn.STOCKHISTORY("XNSE:"&amp;$A6,TODAY()-14,TODAY(),0,0,1),INDEX(_xlpm.h,ROWS(_xlpm.h))),""))</f>
        <v/>
      </c>
      <c r="F6" s="18">
        <f ca="1">IF(AND(st_PriceSource="Live",ISNUMBER($E6)),$E6,$D6)</f>
        <v>1450</v>
      </c>
    </row>
    <row r="7" spans="1:6" x14ac:dyDescent="0.3">
      <c r="A7" s="3" t="s">
        <v>15</v>
      </c>
      <c r="B7" s="3" t="s">
        <v>85</v>
      </c>
      <c r="C7" s="3" t="s">
        <v>86</v>
      </c>
      <c r="D7" s="18">
        <v>3400</v>
      </c>
      <c r="E7" s="18" t="str" cm="1">
        <f t="array" aca="1" ref="E7" ca="1">IF(st_PriceSource&lt;&gt;"Live","",IFERROR(_xlfn.LET(_xlpm.h,_xlfn.STOCKHISTORY("XNSE:"&amp;$A7,TODAY()-14,TODAY(),0,0,1),INDEX(_xlpm.h,ROWS(_xlpm.h))),""))</f>
        <v/>
      </c>
      <c r="F7" s="18">
        <f ca="1">IF(AND(st_PriceSource="Live",ISNUMBER($E7)),$E7,$D7)</f>
        <v>3400</v>
      </c>
    </row>
    <row r="8" spans="1:6" x14ac:dyDescent="0.3">
      <c r="A8" s="3" t="s">
        <v>19</v>
      </c>
      <c r="B8" s="3" t="s">
        <v>87</v>
      </c>
      <c r="C8" s="3" t="s">
        <v>88</v>
      </c>
      <c r="D8" s="18">
        <v>1000</v>
      </c>
      <c r="E8" s="18" t="str" cm="1">
        <f t="array" aca="1" ref="E8" ca="1">IF(st_PriceSource&lt;&gt;"Live","",IFERROR(_xlfn.LET(_xlpm.h,_xlfn.STOCKHISTORY("XNSE:"&amp;$A8,TODAY()-14,TODAY(),0,0,1),INDEX(_xlpm.h,ROWS(_xlpm.h))),""))</f>
        <v/>
      </c>
      <c r="F8" s="18">
        <f ca="1">IF(AND(st_PriceSource="Live",ISNUMBER($E8)),$E8,$D8)</f>
        <v>1000</v>
      </c>
    </row>
    <row r="9" spans="1:6" x14ac:dyDescent="0.3">
      <c r="A9" s="3" t="s">
        <v>21</v>
      </c>
      <c r="B9" s="3" t="s">
        <v>89</v>
      </c>
      <c r="C9" s="3" t="s">
        <v>86</v>
      </c>
      <c r="D9" s="18">
        <v>1500</v>
      </c>
      <c r="E9" s="18" t="str" cm="1">
        <f t="array" aca="1" ref="E9" ca="1">IF(st_PriceSource&lt;&gt;"Live","",IFERROR(_xlfn.LET(_xlpm.h,_xlfn.STOCKHISTORY("XNSE:"&amp;$A9,TODAY()-14,TODAY(),0,0,1),INDEX(_xlpm.h,ROWS(_xlpm.h))),""))</f>
        <v/>
      </c>
      <c r="F9" s="18">
        <f ca="1">IF(AND(st_PriceSource="Live",ISNUMBER($E9)),$E9,$D9)</f>
        <v>1500</v>
      </c>
    </row>
    <row r="10" spans="1:6" x14ac:dyDescent="0.3">
      <c r="A10" s="3" t="s">
        <v>17</v>
      </c>
      <c r="B10" s="3" t="s">
        <v>17</v>
      </c>
      <c r="C10" s="3" t="s">
        <v>90</v>
      </c>
      <c r="D10" s="18">
        <v>410</v>
      </c>
      <c r="E10" s="18" t="str" cm="1">
        <f t="array" aca="1" ref="E10" ca="1">IF(st_PriceSource&lt;&gt;"Live","",IFERROR(_xlfn.LET(_xlpm.h,_xlfn.STOCKHISTORY("XNSE:"&amp;$A10,TODAY()-14,TODAY(),0,0,1),INDEX(_xlpm.h,ROWS(_xlpm.h))),""))</f>
        <v/>
      </c>
      <c r="F10" s="18">
        <f ca="1">IF(AND(st_PriceSource="Live",ISNUMBER($E10)),$E10,$D10)</f>
        <v>410</v>
      </c>
    </row>
    <row r="11" spans="1:6" x14ac:dyDescent="0.3">
      <c r="A11" s="3" t="s">
        <v>30</v>
      </c>
      <c r="B11" s="3" t="s">
        <v>91</v>
      </c>
      <c r="C11" s="3" t="s">
        <v>92</v>
      </c>
      <c r="D11" s="18">
        <v>3700</v>
      </c>
      <c r="E11" s="18" t="str" cm="1">
        <f t="array" aca="1" ref="E11" ca="1">IF(st_PriceSource&lt;&gt;"Live","",IFERROR(_xlfn.LET(_xlpm.h,_xlfn.STOCKHISTORY("XNSE:"&amp;$A11,TODAY()-14,TODAY(),0,0,1),INDEX(_xlpm.h,ROWS(_xlpm.h))),""))</f>
        <v/>
      </c>
      <c r="F11" s="18">
        <f ca="1">IF(AND(st_PriceSource="Live",ISNUMBER($E11)),$E11,$D11)</f>
        <v>3700</v>
      </c>
    </row>
    <row r="12" spans="1:6" x14ac:dyDescent="0.3">
      <c r="A12" s="3" t="s">
        <v>27</v>
      </c>
      <c r="B12" s="3" t="s">
        <v>93</v>
      </c>
      <c r="C12" s="3" t="s">
        <v>88</v>
      </c>
      <c r="D12" s="18">
        <v>820</v>
      </c>
      <c r="E12" s="18" t="str" cm="1">
        <f t="array" aca="1" ref="E12" ca="1">IF(st_PriceSource&lt;&gt;"Live","",IFERROR(_xlfn.LET(_xlpm.h,_xlfn.STOCKHISTORY("XNSE:"&amp;$A12,TODAY()-14,TODAY(),0,0,1),INDEX(_xlpm.h,ROWS(_xlpm.h))),""))</f>
        <v/>
      </c>
      <c r="F12" s="18">
        <f ca="1">IF(AND(st_PriceSource="Live",ISNUMBER($E12)),$E12,$D12)</f>
        <v>820</v>
      </c>
    </row>
    <row r="13" spans="1:6" x14ac:dyDescent="0.3">
      <c r="A13" s="3" t="s">
        <v>40</v>
      </c>
      <c r="B13" s="3" t="s">
        <v>94</v>
      </c>
      <c r="C13" s="3" t="s">
        <v>95</v>
      </c>
      <c r="D13" s="18">
        <v>900</v>
      </c>
      <c r="E13" s="18" t="str" cm="1">
        <f t="array" aca="1" ref="E13" ca="1">IF(st_PriceSource&lt;&gt;"Live","",IFERROR(_xlfn.LET(_xlpm.h,_xlfn.STOCKHISTORY("XNSE:"&amp;$A13,TODAY()-14,TODAY(),0,0,1),INDEX(_xlpm.h,ROWS(_xlpm.h))),""))</f>
        <v/>
      </c>
      <c r="F13" s="18">
        <f ca="1">IF(AND(st_PriceSource="Live",ISNUMBER($E13)),$E13,$D13)</f>
        <v>900</v>
      </c>
    </row>
    <row r="14" spans="1:6" x14ac:dyDescent="0.3">
      <c r="A14" s="3" t="s">
        <v>32</v>
      </c>
      <c r="B14" s="3" t="s">
        <v>96</v>
      </c>
      <c r="C14" s="3" t="s">
        <v>97</v>
      </c>
      <c r="D14" s="18">
        <v>3600</v>
      </c>
      <c r="E14" s="18" t="str" cm="1">
        <f t="array" aca="1" ref="E14" ca="1">IF(st_PriceSource&lt;&gt;"Live","",IFERROR(_xlfn.LET(_xlpm.h,_xlfn.STOCKHISTORY("XNSE:"&amp;$A14,TODAY()-14,TODAY(),0,0,1),INDEX(_xlpm.h,ROWS(_xlpm.h))),""))</f>
        <v/>
      </c>
      <c r="F14" s="18">
        <f ca="1">IF(AND(st_PriceSource="Live",ISNUMBER($E14)),$E14,$D14)</f>
        <v>3600</v>
      </c>
    </row>
    <row r="15" spans="1:6" x14ac:dyDescent="0.3">
      <c r="A15" s="3" t="s">
        <v>34</v>
      </c>
      <c r="B15" s="3" t="s">
        <v>98</v>
      </c>
      <c r="C15" s="3" t="s">
        <v>97</v>
      </c>
      <c r="D15" s="18">
        <v>2400</v>
      </c>
      <c r="E15" s="18" t="str" cm="1">
        <f t="array" aca="1" ref="E15" ca="1">IF(st_PriceSource&lt;&gt;"Live","",IFERROR(_xlfn.LET(_xlpm.h,_xlfn.STOCKHISTORY("XNSE:"&amp;$A15,TODAY()-14,TODAY(),0,0,1),INDEX(_xlpm.h,ROWS(_xlpm.h))),""))</f>
        <v/>
      </c>
      <c r="F15" s="18">
        <f ca="1">IF(AND(st_PriceSource="Live",ISNUMBER($E15)),$E15,$D15)</f>
        <v>2400</v>
      </c>
    </row>
    <row r="16" spans="1:6" x14ac:dyDescent="0.3">
      <c r="A16" s="3" t="s">
        <v>36</v>
      </c>
      <c r="B16" s="3" t="s">
        <v>99</v>
      </c>
      <c r="C16" s="3" t="s">
        <v>100</v>
      </c>
      <c r="D16" s="18">
        <v>1650</v>
      </c>
      <c r="E16" s="18" t="str" cm="1">
        <f t="array" aca="1" ref="E16" ca="1">IF(st_PriceSource&lt;&gt;"Live","",IFERROR(_xlfn.LET(_xlpm.h,_xlfn.STOCKHISTORY("XNSE:"&amp;$A16,TODAY()-14,TODAY(),0,0,1),INDEX(_xlpm.h,ROWS(_xlpm.h))),""))</f>
        <v/>
      </c>
      <c r="F16" s="18">
        <f ca="1">IF(AND(st_PriceSource="Live",ISNUMBER($E16)),$E16,$D16)</f>
        <v>1650</v>
      </c>
    </row>
    <row r="17" spans="1:6" x14ac:dyDescent="0.3">
      <c r="A17" s="3" t="s">
        <v>38</v>
      </c>
      <c r="B17" s="3" t="s">
        <v>101</v>
      </c>
      <c r="C17" s="3" t="s">
        <v>102</v>
      </c>
      <c r="D17" s="18">
        <v>700</v>
      </c>
      <c r="E17" s="18" t="str" cm="1">
        <f t="array" aca="1" ref="E17" ca="1">IF(st_PriceSource&lt;&gt;"Live","",IFERROR(_xlfn.LET(_xlpm.h,_xlfn.STOCKHISTORY("XNSE:"&amp;$A17,TODAY()-14,TODAY(),0,0,1),INDEX(_xlpm.h,ROWS(_xlpm.h))),""))</f>
        <v/>
      </c>
      <c r="F17" s="18">
        <f ca="1">IF(AND(st_PriceSource="Live",ISNUMBER($E17)),$E17,$D17)</f>
        <v>700</v>
      </c>
    </row>
    <row r="18" spans="1:6" x14ac:dyDescent="0.3">
      <c r="A18" s="3" t="s">
        <v>59</v>
      </c>
      <c r="B18" s="3" t="s">
        <v>103</v>
      </c>
      <c r="C18" s="3" t="s">
        <v>95</v>
      </c>
      <c r="D18" s="18">
        <v>150</v>
      </c>
      <c r="E18" s="18" t="str" cm="1">
        <f t="array" aca="1" ref="E18" ca="1">IF(st_PriceSource&lt;&gt;"Live","",IFERROR(_xlfn.LET(_xlpm.h,_xlfn.STOCKHISTORY("XNSE:"&amp;$A18,TODAY()-14,TODAY(),0,0,1),INDEX(_xlpm.h,ROWS(_xlpm.h))),""))</f>
        <v/>
      </c>
      <c r="F18" s="18">
        <f ca="1">IF(AND(st_PriceSource="Live",ISNUMBER($E18)),$E18,$D18)</f>
        <v>150</v>
      </c>
    </row>
    <row r="19" spans="1:6" x14ac:dyDescent="0.3">
      <c r="A19" s="3" t="s">
        <v>62</v>
      </c>
      <c r="B19" s="3" t="s">
        <v>104</v>
      </c>
      <c r="C19" s="3" t="s">
        <v>105</v>
      </c>
      <c r="D19" s="18">
        <v>4300</v>
      </c>
      <c r="E19" s="18" t="str" cm="1">
        <f t="array" aca="1" ref="E19" ca="1">IF(st_PriceSource&lt;&gt;"Live","",IFERROR(_xlfn.LET(_xlpm.h,_xlfn.STOCKHISTORY("XNSE:"&amp;$A19,TODAY()-14,TODAY(),0,0,1),INDEX(_xlpm.h,ROWS(_xlpm.h))),""))</f>
        <v/>
      </c>
      <c r="F19" s="18">
        <f ca="1">IF(AND(st_PriceSource="Live",ISNUMBER($E19)),$E19,$D19)</f>
        <v>4300</v>
      </c>
    </row>
    <row r="20" spans="1:6" x14ac:dyDescent="0.3">
      <c r="A20" s="3" t="s">
        <v>65</v>
      </c>
      <c r="B20" s="3" t="s">
        <v>106</v>
      </c>
      <c r="C20" s="3" t="s">
        <v>107</v>
      </c>
      <c r="D20" s="18">
        <v>235</v>
      </c>
      <c r="E20" s="18" t="str" cm="1">
        <f t="array" aca="1" ref="E20" ca="1">IF(st_PriceSource&lt;&gt;"Live","",IFERROR(_xlfn.LET(_xlpm.h,_xlfn.STOCKHISTORY("XNSE:"&amp;$A20,TODAY()-14,TODAY(),0,0,1),INDEX(_xlpm.h,ROWS(_xlpm.h))),""))</f>
        <v/>
      </c>
      <c r="F20" s="18">
        <f ca="1">IF(AND(st_PriceSource="Live",ISNUMBER($E20)),$E20,$D20)</f>
        <v>235</v>
      </c>
    </row>
    <row r="21" spans="1:6" x14ac:dyDescent="0.3">
      <c r="A21" s="3" t="s">
        <v>71</v>
      </c>
      <c r="B21" s="3" t="s">
        <v>108</v>
      </c>
      <c r="C21" s="3" t="s">
        <v>109</v>
      </c>
      <c r="D21" s="18">
        <v>1250</v>
      </c>
      <c r="E21" s="18" t="str" cm="1">
        <f t="array" aca="1" ref="E21" ca="1">IF(st_PriceSource&lt;&gt;"Live","",IFERROR(_xlfn.LET(_xlpm.h,_xlfn.STOCKHISTORY("XNSE:"&amp;$A21,TODAY()-14,TODAY(),0,0,1),INDEX(_xlpm.h,ROWS(_xlpm.h))),""))</f>
        <v/>
      </c>
      <c r="F21" s="18">
        <f ca="1">IF(AND(st_PriceSource="Live",ISNUMBER($E21)),$E21,$D21)</f>
        <v>1250</v>
      </c>
    </row>
    <row r="22" spans="1:6" x14ac:dyDescent="0.3">
      <c r="A22" s="3" t="s">
        <v>23</v>
      </c>
      <c r="B22" s="3" t="s">
        <v>110</v>
      </c>
      <c r="C22" s="3" t="s">
        <v>111</v>
      </c>
      <c r="D22" s="18">
        <v>85</v>
      </c>
      <c r="E22" s="18" t="str" cm="1">
        <f t="array" aca="1" ref="E22" ca="1">IF(st_PriceSource&lt;&gt;"Live","",IFERROR(_xlfn.LET(_xlpm.h,_xlfn.STOCKHISTORY("XNSE:"&amp;$A22,TODAY()-14,TODAY(),0,0,1),INDEX(_xlpm.h,ROWS(_xlpm.h))),""))</f>
        <v/>
      </c>
      <c r="F22" s="18">
        <f ca="1">IF(AND(st_PriceSource="Live",ISNUMBER($E22)),$E22,$D22)</f>
        <v>85</v>
      </c>
    </row>
    <row r="23" spans="1:6" x14ac:dyDescent="0.3">
      <c r="A23" s="3" t="s">
        <v>43</v>
      </c>
      <c r="B23" s="3" t="s">
        <v>112</v>
      </c>
      <c r="C23" s="3" t="s">
        <v>113</v>
      </c>
      <c r="D23" s="18">
        <v>32</v>
      </c>
      <c r="E23" s="18" t="str" cm="1">
        <f t="array" aca="1" ref="E23" ca="1">IF(st_PriceSource&lt;&gt;"Live","",IFERROR(_xlfn.LET(_xlpm.h,_xlfn.STOCKHISTORY("XNSE:"&amp;$A23,TODAY()-14,TODAY(),0,0,1),INDEX(_xlpm.h,ROWS(_xlpm.h))),""))</f>
        <v/>
      </c>
      <c r="F23" s="18">
        <f ca="1">IF(AND(st_PriceSource="Live",ISNUMBER($E23)),$E23,$D23)</f>
        <v>32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233D9-10D2-495B-A34E-7C982DFF66FE}">
  <sheetPr codeName="Sheet6">
    <tabColor rgb="FF548235"/>
  </sheetPr>
  <dimension ref="A1:R21"/>
  <sheetViews>
    <sheetView showGridLines="0" workbookViewId="0">
      <pane ySplit="5" topLeftCell="A6" activePane="bottomLeft" state="frozen"/>
      <selection pane="bottomLeft"/>
    </sheetView>
  </sheetViews>
  <sheetFormatPr defaultRowHeight="13.8" x14ac:dyDescent="0.3"/>
  <cols>
    <col min="1" max="1" width="8.77734375" style="3" customWidth="1"/>
    <col min="2" max="2" width="11.77734375" style="3" customWidth="1"/>
    <col min="3" max="3" width="12.77734375" style="3" customWidth="1"/>
    <col min="4" max="4" width="9.77734375" style="3" customWidth="1"/>
    <col min="5" max="5" width="7.77734375" style="3" customWidth="1"/>
    <col min="6" max="6" width="11.77734375" style="3" customWidth="1"/>
    <col min="7" max="10" width="9.77734375" style="3" customWidth="1"/>
    <col min="11" max="11" width="7.77734375" style="3" customWidth="1"/>
    <col min="12" max="13" width="10.77734375" style="3" customWidth="1"/>
    <col min="14" max="15" width="12.77734375" style="3" customWidth="1"/>
    <col min="16" max="16" width="9.77734375" style="3" customWidth="1"/>
    <col min="17" max="17" width="12.77734375" style="3" customWidth="1"/>
    <col min="18" max="18" width="7.77734375" style="3" customWidth="1"/>
    <col min="19" max="16384" width="8.88671875" style="3"/>
  </cols>
  <sheetData>
    <row r="1" spans="1:18" ht="21" x14ac:dyDescent="0.4">
      <c r="A1" s="4" t="s">
        <v>169</v>
      </c>
    </row>
    <row r="2" spans="1:18" x14ac:dyDescent="0.3">
      <c r="A2" s="5" t="s">
        <v>170</v>
      </c>
    </row>
    <row r="5" spans="1:18" ht="30" customHeight="1" x14ac:dyDescent="0.3">
      <c r="A5" s="20" t="s">
        <v>171</v>
      </c>
      <c r="B5" s="20" t="s">
        <v>172</v>
      </c>
      <c r="C5" s="20" t="s">
        <v>1</v>
      </c>
      <c r="D5" s="20" t="s">
        <v>2</v>
      </c>
      <c r="E5" s="20" t="s">
        <v>4</v>
      </c>
      <c r="F5" s="20" t="s">
        <v>173</v>
      </c>
      <c r="G5" s="20" t="s">
        <v>174</v>
      </c>
      <c r="H5" s="20" t="s">
        <v>175</v>
      </c>
      <c r="I5" s="20" t="s">
        <v>176</v>
      </c>
      <c r="J5" s="20" t="s">
        <v>177</v>
      </c>
      <c r="K5" s="20" t="s">
        <v>178</v>
      </c>
      <c r="L5" s="20" t="s">
        <v>179</v>
      </c>
      <c r="M5" s="20" t="s">
        <v>180</v>
      </c>
      <c r="N5" s="20" t="s">
        <v>181</v>
      </c>
      <c r="O5" s="20" t="s">
        <v>182</v>
      </c>
      <c r="P5" s="20" t="s">
        <v>183</v>
      </c>
      <c r="Q5" s="20" t="s">
        <v>184</v>
      </c>
      <c r="R5" s="20" t="s">
        <v>185</v>
      </c>
    </row>
    <row r="6" spans="1:18" ht="14.4" x14ac:dyDescent="0.3">
      <c r="A6" t="s">
        <v>212</v>
      </c>
      <c r="B6" s="33">
        <v>45550</v>
      </c>
      <c r="C6" t="s">
        <v>38</v>
      </c>
      <c r="D6" t="s">
        <v>11</v>
      </c>
      <c r="E6">
        <v>100</v>
      </c>
      <c r="F6" s="33">
        <v>44879</v>
      </c>
      <c r="G6" s="34">
        <v>420</v>
      </c>
      <c r="H6" s="34"/>
      <c r="I6" s="34">
        <v>420</v>
      </c>
      <c r="J6" s="34">
        <v>1050</v>
      </c>
      <c r="K6">
        <v>671</v>
      </c>
      <c r="L6" t="s">
        <v>213</v>
      </c>
      <c r="M6" t="s">
        <v>214</v>
      </c>
      <c r="N6" s="35">
        <v>42000</v>
      </c>
      <c r="O6" s="35">
        <v>105000</v>
      </c>
      <c r="P6" s="35">
        <v>113.33</v>
      </c>
      <c r="Q6" s="37">
        <v>62886.67</v>
      </c>
      <c r="R6" s="36">
        <v>0.125</v>
      </c>
    </row>
    <row r="7" spans="1:18" ht="14.4" x14ac:dyDescent="0.3">
      <c r="A7" t="s">
        <v>212</v>
      </c>
      <c r="B7" s="33">
        <v>45646</v>
      </c>
      <c r="C7" t="s">
        <v>15</v>
      </c>
      <c r="D7" t="s">
        <v>11</v>
      </c>
      <c r="E7">
        <v>10</v>
      </c>
      <c r="F7" s="33">
        <v>42809</v>
      </c>
      <c r="G7" s="34">
        <v>1200</v>
      </c>
      <c r="H7" s="34">
        <v>1550</v>
      </c>
      <c r="I7" s="59">
        <v>1550</v>
      </c>
      <c r="J7" s="34">
        <v>4200</v>
      </c>
      <c r="K7">
        <v>2837</v>
      </c>
      <c r="L7" t="s">
        <v>213</v>
      </c>
      <c r="M7" t="s">
        <v>214</v>
      </c>
      <c r="N7" s="35">
        <v>15500</v>
      </c>
      <c r="O7" s="35">
        <v>42000</v>
      </c>
      <c r="P7" s="35">
        <v>50</v>
      </c>
      <c r="Q7" s="37">
        <v>26450</v>
      </c>
      <c r="R7" s="36">
        <v>0.125</v>
      </c>
    </row>
    <row r="8" spans="1:18" ht="14.4" x14ac:dyDescent="0.3">
      <c r="A8" t="s">
        <v>212</v>
      </c>
      <c r="B8" s="33">
        <v>45667</v>
      </c>
      <c r="C8" t="s">
        <v>17</v>
      </c>
      <c r="D8" t="s">
        <v>11</v>
      </c>
      <c r="E8">
        <v>100</v>
      </c>
      <c r="F8" s="33">
        <v>42891</v>
      </c>
      <c r="G8" s="34">
        <v>280</v>
      </c>
      <c r="H8" s="34">
        <v>270</v>
      </c>
      <c r="I8" s="59">
        <v>280</v>
      </c>
      <c r="J8" s="34">
        <v>470</v>
      </c>
      <c r="K8">
        <v>2776</v>
      </c>
      <c r="L8" t="s">
        <v>213</v>
      </c>
      <c r="M8" t="s">
        <v>214</v>
      </c>
      <c r="N8" s="35">
        <v>28000</v>
      </c>
      <c r="O8" s="35">
        <v>47000</v>
      </c>
      <c r="P8" s="35">
        <v>65</v>
      </c>
      <c r="Q8" s="37">
        <v>18935</v>
      </c>
      <c r="R8" s="36">
        <v>0.125</v>
      </c>
    </row>
    <row r="9" spans="1:18" ht="14.4" x14ac:dyDescent="0.3">
      <c r="A9" t="s">
        <v>215</v>
      </c>
      <c r="B9" s="33">
        <v>45782</v>
      </c>
      <c r="C9" t="s">
        <v>27</v>
      </c>
      <c r="D9" t="s">
        <v>11</v>
      </c>
      <c r="E9">
        <v>100</v>
      </c>
      <c r="F9" s="33">
        <v>43915</v>
      </c>
      <c r="G9" s="34">
        <v>190</v>
      </c>
      <c r="H9" s="34"/>
      <c r="I9" s="34">
        <v>190</v>
      </c>
      <c r="J9" s="34">
        <v>790</v>
      </c>
      <c r="K9">
        <v>1867</v>
      </c>
      <c r="L9" t="s">
        <v>213</v>
      </c>
      <c r="M9" t="s">
        <v>214</v>
      </c>
      <c r="N9" s="35">
        <v>19000</v>
      </c>
      <c r="O9" s="35">
        <v>79000</v>
      </c>
      <c r="P9" s="35">
        <v>66.67</v>
      </c>
      <c r="Q9" s="37">
        <v>59933.33</v>
      </c>
      <c r="R9" s="36">
        <v>0.125</v>
      </c>
    </row>
    <row r="10" spans="1:18" ht="14.4" x14ac:dyDescent="0.3">
      <c r="A10" t="s">
        <v>215</v>
      </c>
      <c r="B10" s="33">
        <v>46037</v>
      </c>
      <c r="C10" t="s">
        <v>30</v>
      </c>
      <c r="D10" t="s">
        <v>11</v>
      </c>
      <c r="E10">
        <v>10</v>
      </c>
      <c r="F10" s="33">
        <v>44061</v>
      </c>
      <c r="G10" s="34">
        <v>950</v>
      </c>
      <c r="H10" s="34"/>
      <c r="I10" s="34">
        <v>950</v>
      </c>
      <c r="J10" s="34">
        <v>3600</v>
      </c>
      <c r="K10">
        <v>1976</v>
      </c>
      <c r="L10" t="s">
        <v>213</v>
      </c>
      <c r="M10" t="s">
        <v>214</v>
      </c>
      <c r="N10" s="35">
        <v>9500</v>
      </c>
      <c r="O10" s="35">
        <v>36000</v>
      </c>
      <c r="P10" s="35">
        <v>50</v>
      </c>
      <c r="Q10" s="37">
        <v>26450</v>
      </c>
      <c r="R10" s="36">
        <v>0.125</v>
      </c>
    </row>
    <row r="11" spans="1:18" ht="14.4" x14ac:dyDescent="0.3">
      <c r="A11" t="s">
        <v>216</v>
      </c>
      <c r="B11" s="33">
        <v>46162</v>
      </c>
      <c r="C11" t="s">
        <v>21</v>
      </c>
      <c r="D11" t="s">
        <v>11</v>
      </c>
      <c r="E11">
        <v>40</v>
      </c>
      <c r="F11" s="33">
        <v>43536</v>
      </c>
      <c r="G11" s="34">
        <v>740</v>
      </c>
      <c r="H11" s="34"/>
      <c r="I11" s="34">
        <v>740</v>
      </c>
      <c r="J11" s="34">
        <v>1550</v>
      </c>
      <c r="K11">
        <v>2626</v>
      </c>
      <c r="L11" t="s">
        <v>213</v>
      </c>
      <c r="M11" t="s">
        <v>214</v>
      </c>
      <c r="N11" s="35">
        <v>29600</v>
      </c>
      <c r="O11" s="35">
        <v>62000</v>
      </c>
      <c r="P11" s="35">
        <v>76.67</v>
      </c>
      <c r="Q11" s="37">
        <v>32323.33</v>
      </c>
      <c r="R11" s="36">
        <v>0.125</v>
      </c>
    </row>
    <row r="12" spans="1:18" ht="14.4" x14ac:dyDescent="0.3">
      <c r="A12" t="s">
        <v>216</v>
      </c>
      <c r="B12" s="33">
        <v>46191</v>
      </c>
      <c r="C12" t="s">
        <v>38</v>
      </c>
      <c r="D12" t="s">
        <v>11</v>
      </c>
      <c r="E12">
        <v>50</v>
      </c>
      <c r="F12" s="33">
        <v>44879</v>
      </c>
      <c r="G12" s="34">
        <v>420</v>
      </c>
      <c r="H12" s="34"/>
      <c r="I12" s="34">
        <v>420</v>
      </c>
      <c r="J12" s="34">
        <v>760</v>
      </c>
      <c r="K12">
        <v>1312</v>
      </c>
      <c r="L12" t="s">
        <v>213</v>
      </c>
      <c r="M12" t="s">
        <v>214</v>
      </c>
      <c r="N12" s="35">
        <v>21000</v>
      </c>
      <c r="O12" s="35">
        <v>38000</v>
      </c>
      <c r="P12" s="35">
        <v>56.67</v>
      </c>
      <c r="Q12" s="37">
        <v>16943.330000000002</v>
      </c>
      <c r="R12" s="36">
        <v>0.125</v>
      </c>
    </row>
    <row r="13" spans="1:18" ht="14.4" x14ac:dyDescent="0.3">
      <c r="A13" t="s">
        <v>216</v>
      </c>
      <c r="B13" s="33">
        <v>46213</v>
      </c>
      <c r="C13" t="s">
        <v>59</v>
      </c>
      <c r="D13" t="s">
        <v>11</v>
      </c>
      <c r="E13">
        <v>1000</v>
      </c>
      <c r="F13" s="33">
        <v>46117</v>
      </c>
      <c r="G13" s="34">
        <v>140</v>
      </c>
      <c r="H13" s="34"/>
      <c r="I13" s="34">
        <v>140</v>
      </c>
      <c r="J13" s="34">
        <v>168</v>
      </c>
      <c r="K13">
        <v>96</v>
      </c>
      <c r="L13" t="s">
        <v>217</v>
      </c>
      <c r="M13" t="s">
        <v>218</v>
      </c>
      <c r="N13" s="35">
        <v>140000</v>
      </c>
      <c r="O13" s="35">
        <v>168000</v>
      </c>
      <c r="P13" s="35">
        <v>85</v>
      </c>
      <c r="Q13" s="37">
        <v>27915</v>
      </c>
      <c r="R13" s="36">
        <v>0.2</v>
      </c>
    </row>
    <row r="14" spans="1:18" ht="14.4" x14ac:dyDescent="0.3">
      <c r="A14" t="s">
        <v>216</v>
      </c>
      <c r="B14" s="33">
        <v>46228</v>
      </c>
      <c r="C14" t="s">
        <v>19</v>
      </c>
      <c r="D14" t="s">
        <v>11</v>
      </c>
      <c r="E14">
        <v>30</v>
      </c>
      <c r="F14" s="33">
        <v>43301</v>
      </c>
      <c r="G14" s="34">
        <v>1050</v>
      </c>
      <c r="H14" s="34"/>
      <c r="I14" s="34">
        <v>1050</v>
      </c>
      <c r="J14" s="34">
        <v>980</v>
      </c>
      <c r="K14">
        <v>2927</v>
      </c>
      <c r="L14" t="s">
        <v>213</v>
      </c>
      <c r="M14" t="s">
        <v>214</v>
      </c>
      <c r="N14" s="35">
        <v>31500</v>
      </c>
      <c r="O14" s="35">
        <v>29400</v>
      </c>
      <c r="P14" s="35">
        <v>60</v>
      </c>
      <c r="Q14" s="60">
        <v>-2160</v>
      </c>
      <c r="R14" s="36">
        <v>0.125</v>
      </c>
    </row>
    <row r="15" spans="1:18" ht="14.4" x14ac:dyDescent="0.3">
      <c r="A15" t="s">
        <v>216</v>
      </c>
      <c r="B15" s="33">
        <v>46246</v>
      </c>
      <c r="C15" t="s">
        <v>34</v>
      </c>
      <c r="D15" t="s">
        <v>11</v>
      </c>
      <c r="E15">
        <v>10</v>
      </c>
      <c r="F15" s="33">
        <v>44484</v>
      </c>
      <c r="G15" s="34">
        <v>3300</v>
      </c>
      <c r="H15" s="34"/>
      <c r="I15" s="34">
        <v>3300</v>
      </c>
      <c r="J15" s="34">
        <v>2500</v>
      </c>
      <c r="K15">
        <v>1762</v>
      </c>
      <c r="L15" t="s">
        <v>213</v>
      </c>
      <c r="M15" t="s">
        <v>214</v>
      </c>
      <c r="N15" s="35">
        <v>33000</v>
      </c>
      <c r="O15" s="35">
        <v>25000</v>
      </c>
      <c r="P15" s="35">
        <v>56.67</v>
      </c>
      <c r="Q15" s="60">
        <v>-8056.67</v>
      </c>
      <c r="R15" s="36">
        <v>0.125</v>
      </c>
    </row>
    <row r="16" spans="1:18" ht="14.4" x14ac:dyDescent="0.3">
      <c r="A16" t="s">
        <v>216</v>
      </c>
      <c r="B16" s="33">
        <v>46254</v>
      </c>
      <c r="C16" t="s">
        <v>62</v>
      </c>
      <c r="D16" t="s">
        <v>11</v>
      </c>
      <c r="E16">
        <v>10</v>
      </c>
      <c r="F16" s="33">
        <v>46157</v>
      </c>
      <c r="G16" s="34">
        <v>4100</v>
      </c>
      <c r="H16" s="34"/>
      <c r="I16" s="34">
        <v>4100</v>
      </c>
      <c r="J16" s="34">
        <v>4450</v>
      </c>
      <c r="K16">
        <v>97</v>
      </c>
      <c r="L16" t="s">
        <v>217</v>
      </c>
      <c r="M16" t="s">
        <v>218</v>
      </c>
      <c r="N16" s="35">
        <v>41000</v>
      </c>
      <c r="O16" s="35">
        <v>44500</v>
      </c>
      <c r="P16" s="35">
        <v>60</v>
      </c>
      <c r="Q16" s="37">
        <v>3440</v>
      </c>
      <c r="R16" s="36">
        <v>0.2</v>
      </c>
    </row>
    <row r="17" spans="1:18" ht="14.4" x14ac:dyDescent="0.3">
      <c r="A17" t="s">
        <v>216</v>
      </c>
      <c r="B17" s="33">
        <v>46262</v>
      </c>
      <c r="C17" t="s">
        <v>32</v>
      </c>
      <c r="D17" t="s">
        <v>11</v>
      </c>
      <c r="E17">
        <v>10</v>
      </c>
      <c r="F17" s="33">
        <v>44237</v>
      </c>
      <c r="G17" s="34">
        <v>1450</v>
      </c>
      <c r="H17" s="34"/>
      <c r="I17" s="34">
        <v>1450</v>
      </c>
      <c r="J17" s="34">
        <v>3900</v>
      </c>
      <c r="K17">
        <v>2025</v>
      </c>
      <c r="L17" t="s">
        <v>213</v>
      </c>
      <c r="M17" t="s">
        <v>214</v>
      </c>
      <c r="N17" s="35">
        <v>14500</v>
      </c>
      <c r="O17" s="35">
        <v>39000</v>
      </c>
      <c r="P17" s="35">
        <v>42.5</v>
      </c>
      <c r="Q17" s="37">
        <v>24457.5</v>
      </c>
      <c r="R17" s="36">
        <v>0.125</v>
      </c>
    </row>
    <row r="18" spans="1:18" ht="14.4" x14ac:dyDescent="0.3">
      <c r="A18" t="s">
        <v>216</v>
      </c>
      <c r="B18" s="33">
        <v>46273</v>
      </c>
      <c r="C18" t="s">
        <v>15</v>
      </c>
      <c r="D18" t="s">
        <v>11</v>
      </c>
      <c r="E18">
        <v>20</v>
      </c>
      <c r="F18" s="33">
        <v>42809</v>
      </c>
      <c r="G18" s="34">
        <v>1200</v>
      </c>
      <c r="H18" s="34">
        <v>1550</v>
      </c>
      <c r="I18" s="59">
        <v>1550</v>
      </c>
      <c r="J18" s="34">
        <v>3500</v>
      </c>
      <c r="K18">
        <v>3464</v>
      </c>
      <c r="L18" t="s">
        <v>213</v>
      </c>
      <c r="M18" t="s">
        <v>214</v>
      </c>
      <c r="N18" s="35">
        <v>31000</v>
      </c>
      <c r="O18" s="35">
        <v>70000</v>
      </c>
      <c r="P18" s="35">
        <v>60</v>
      </c>
      <c r="Q18" s="37">
        <v>38940</v>
      </c>
      <c r="R18" s="36">
        <v>0.125</v>
      </c>
    </row>
    <row r="19" spans="1:18" ht="14.4" x14ac:dyDescent="0.3">
      <c r="A19" t="s">
        <v>216</v>
      </c>
      <c r="B19" s="33">
        <v>46280</v>
      </c>
      <c r="C19" t="s">
        <v>43</v>
      </c>
      <c r="D19" t="s">
        <v>44</v>
      </c>
      <c r="E19">
        <v>2000</v>
      </c>
      <c r="F19" s="33">
        <v>45092</v>
      </c>
      <c r="G19" s="34">
        <v>28</v>
      </c>
      <c r="H19" s="34"/>
      <c r="I19" s="34">
        <v>28</v>
      </c>
      <c r="J19" s="34">
        <v>32</v>
      </c>
      <c r="K19">
        <v>1188</v>
      </c>
      <c r="L19" t="s">
        <v>217</v>
      </c>
      <c r="M19" t="s">
        <v>219</v>
      </c>
      <c r="N19" s="35">
        <v>56000</v>
      </c>
      <c r="O19" s="35">
        <v>64000</v>
      </c>
      <c r="P19" s="35">
        <v>0</v>
      </c>
      <c r="Q19" s="37">
        <v>8000</v>
      </c>
      <c r="R19" s="36">
        <v>0.3</v>
      </c>
    </row>
    <row r="20" spans="1:18" ht="14.4" x14ac:dyDescent="0.3">
      <c r="A20" t="s">
        <v>216</v>
      </c>
      <c r="B20" s="33">
        <v>46287</v>
      </c>
      <c r="C20" t="s">
        <v>36</v>
      </c>
      <c r="D20" t="s">
        <v>11</v>
      </c>
      <c r="E20">
        <v>30</v>
      </c>
      <c r="F20" s="33">
        <v>44690</v>
      </c>
      <c r="G20" s="34">
        <v>860</v>
      </c>
      <c r="H20" s="34"/>
      <c r="I20" s="34">
        <v>860</v>
      </c>
      <c r="J20" s="34">
        <v>1720</v>
      </c>
      <c r="K20">
        <v>1597</v>
      </c>
      <c r="L20" t="s">
        <v>213</v>
      </c>
      <c r="M20" t="s">
        <v>214</v>
      </c>
      <c r="N20" s="35">
        <v>25800</v>
      </c>
      <c r="O20" s="35">
        <v>51600</v>
      </c>
      <c r="P20" s="35">
        <v>57.5</v>
      </c>
      <c r="Q20" s="37">
        <v>25742.5</v>
      </c>
      <c r="R20" s="36">
        <v>0.125</v>
      </c>
    </row>
    <row r="21" spans="1:18" ht="14.4" x14ac:dyDescent="0.3">
      <c r="A21" t="s">
        <v>216</v>
      </c>
      <c r="B21" s="33">
        <v>46300</v>
      </c>
      <c r="C21" t="s">
        <v>10</v>
      </c>
      <c r="D21" t="s">
        <v>11</v>
      </c>
      <c r="E21">
        <v>30</v>
      </c>
      <c r="F21" s="33">
        <v>42745</v>
      </c>
      <c r="G21" s="34">
        <v>520</v>
      </c>
      <c r="H21" s="34">
        <v>460</v>
      </c>
      <c r="I21" s="59">
        <v>520</v>
      </c>
      <c r="J21" s="34">
        <v>1420</v>
      </c>
      <c r="K21">
        <v>3555</v>
      </c>
      <c r="L21" t="s">
        <v>213</v>
      </c>
      <c r="M21" t="s">
        <v>214</v>
      </c>
      <c r="N21" s="35">
        <v>15600</v>
      </c>
      <c r="O21" s="35">
        <v>42600</v>
      </c>
      <c r="P21" s="35">
        <v>54</v>
      </c>
      <c r="Q21" s="37">
        <v>26946</v>
      </c>
      <c r="R21" s="36">
        <v>0.125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3282F-9C03-47E3-B48D-E3A30D886ED2}">
  <sheetPr codeName="Sheet7">
    <tabColor rgb="FF548235"/>
  </sheetPr>
  <dimension ref="A1:P27"/>
  <sheetViews>
    <sheetView showGridLines="0" workbookViewId="0">
      <pane ySplit="5" topLeftCell="A6" activePane="bottomLeft" state="frozen"/>
      <selection pane="bottomLeft"/>
    </sheetView>
  </sheetViews>
  <sheetFormatPr defaultRowHeight="13.8" x14ac:dyDescent="0.3"/>
  <cols>
    <col min="1" max="1" width="12.77734375" style="3" customWidth="1"/>
    <col min="2" max="2" width="24.77734375" style="3" customWidth="1"/>
    <col min="3" max="3" width="14.77734375" style="3" customWidth="1"/>
    <col min="4" max="4" width="9.77734375" style="3" customWidth="1"/>
    <col min="5" max="5" width="11.77734375" style="3" customWidth="1"/>
    <col min="6" max="6" width="7.77734375" style="3" customWidth="1"/>
    <col min="7" max="7" width="9.77734375" style="3" customWidth="1"/>
    <col min="8" max="8" width="12.77734375" style="3" customWidth="1"/>
    <col min="9" max="9" width="9.77734375" style="3" customWidth="1"/>
    <col min="10" max="10" width="12.77734375" style="3" customWidth="1"/>
    <col min="11" max="11" width="11.77734375" style="3" customWidth="1"/>
    <col min="12" max="12" width="7.77734375" style="3" customWidth="1"/>
    <col min="13" max="13" width="10.77734375" style="3" customWidth="1"/>
    <col min="14" max="14" width="12.77734375" style="3" customWidth="1"/>
    <col min="15" max="15" width="8.77734375" style="3" customWidth="1"/>
    <col min="16" max="16" width="9.77734375" style="3" customWidth="1"/>
    <col min="17" max="16384" width="8.88671875" style="3"/>
  </cols>
  <sheetData>
    <row r="1" spans="1:16" ht="21" x14ac:dyDescent="0.4">
      <c r="A1" s="4" t="s">
        <v>186</v>
      </c>
    </row>
    <row r="2" spans="1:16" x14ac:dyDescent="0.3">
      <c r="A2" s="5" t="s">
        <v>187</v>
      </c>
    </row>
    <row r="5" spans="1:16" ht="30" customHeight="1" x14ac:dyDescent="0.3">
      <c r="A5" s="20" t="s">
        <v>1</v>
      </c>
      <c r="B5" s="20" t="s">
        <v>80</v>
      </c>
      <c r="C5" s="20" t="s">
        <v>81</v>
      </c>
      <c r="D5" s="20" t="s">
        <v>2</v>
      </c>
      <c r="E5" s="20" t="s">
        <v>173</v>
      </c>
      <c r="F5" s="20" t="s">
        <v>4</v>
      </c>
      <c r="G5" s="20" t="s">
        <v>174</v>
      </c>
      <c r="H5" s="20" t="s">
        <v>188</v>
      </c>
      <c r="I5" s="20" t="s">
        <v>5</v>
      </c>
      <c r="J5" s="20" t="s">
        <v>117</v>
      </c>
      <c r="K5" s="20" t="s">
        <v>189</v>
      </c>
      <c r="L5" s="20" t="s">
        <v>178</v>
      </c>
      <c r="M5" s="20" t="s">
        <v>190</v>
      </c>
      <c r="N5" s="20" t="s">
        <v>191</v>
      </c>
      <c r="O5" s="20" t="s">
        <v>192</v>
      </c>
      <c r="P5" s="20" t="s">
        <v>175</v>
      </c>
    </row>
    <row r="6" spans="1:16" ht="14.4" x14ac:dyDescent="0.3">
      <c r="A6" t="s">
        <v>10</v>
      </c>
      <c r="B6" t="s">
        <v>83</v>
      </c>
      <c r="C6" t="s">
        <v>84</v>
      </c>
      <c r="D6" t="s">
        <v>11</v>
      </c>
      <c r="E6" s="33">
        <v>42745</v>
      </c>
      <c r="F6">
        <v>20</v>
      </c>
      <c r="G6" s="38">
        <v>520</v>
      </c>
      <c r="H6" s="38">
        <v>10416</v>
      </c>
      <c r="I6" s="38">
        <v>1450</v>
      </c>
      <c r="J6" s="38">
        <v>29000</v>
      </c>
      <c r="K6" s="39">
        <v>18584</v>
      </c>
      <c r="L6">
        <v>3571</v>
      </c>
      <c r="M6" t="s">
        <v>213</v>
      </c>
      <c r="N6" s="33">
        <v>43111</v>
      </c>
      <c r="O6" s="36">
        <v>0.125</v>
      </c>
      <c r="P6">
        <v>460</v>
      </c>
    </row>
    <row r="7" spans="1:16" ht="14.4" x14ac:dyDescent="0.3">
      <c r="A7" t="s">
        <v>10</v>
      </c>
      <c r="B7" t="s">
        <v>83</v>
      </c>
      <c r="C7" t="s">
        <v>84</v>
      </c>
      <c r="D7" t="s">
        <v>11</v>
      </c>
      <c r="E7" s="33">
        <v>45089</v>
      </c>
      <c r="F7">
        <v>20</v>
      </c>
      <c r="G7" s="38">
        <v>1250</v>
      </c>
      <c r="H7" s="38">
        <v>25025</v>
      </c>
      <c r="I7" s="38">
        <v>1450</v>
      </c>
      <c r="J7" s="38">
        <v>29000</v>
      </c>
      <c r="K7" s="39">
        <v>3975</v>
      </c>
      <c r="L7">
        <v>1227</v>
      </c>
      <c r="M7" t="s">
        <v>213</v>
      </c>
      <c r="N7" s="33">
        <v>45456</v>
      </c>
      <c r="O7" s="36">
        <v>0.125</v>
      </c>
      <c r="P7"/>
    </row>
    <row r="8" spans="1:16" ht="14.4" x14ac:dyDescent="0.3">
      <c r="A8" t="s">
        <v>10</v>
      </c>
      <c r="B8" t="s">
        <v>83</v>
      </c>
      <c r="C8" t="s">
        <v>84</v>
      </c>
      <c r="D8" t="s">
        <v>11</v>
      </c>
      <c r="E8" s="33">
        <v>46204</v>
      </c>
      <c r="F8">
        <v>30</v>
      </c>
      <c r="G8" s="38">
        <v>1500</v>
      </c>
      <c r="H8" s="38">
        <v>45030</v>
      </c>
      <c r="I8" s="38">
        <v>1450</v>
      </c>
      <c r="J8" s="38">
        <v>43500</v>
      </c>
      <c r="K8" s="61">
        <v>-1530</v>
      </c>
      <c r="L8">
        <v>112</v>
      </c>
      <c r="M8" t="s">
        <v>217</v>
      </c>
      <c r="N8" s="33">
        <v>46570</v>
      </c>
      <c r="O8" s="36">
        <v>0.2</v>
      </c>
      <c r="P8"/>
    </row>
    <row r="9" spans="1:16" ht="14.4" x14ac:dyDescent="0.3">
      <c r="A9" t="s">
        <v>15</v>
      </c>
      <c r="B9" t="s">
        <v>85</v>
      </c>
      <c r="C9" t="s">
        <v>86</v>
      </c>
      <c r="D9" t="s">
        <v>11</v>
      </c>
      <c r="E9" s="33">
        <v>46122</v>
      </c>
      <c r="F9">
        <v>10</v>
      </c>
      <c r="G9" s="38">
        <v>3600</v>
      </c>
      <c r="H9" s="38">
        <v>36030</v>
      </c>
      <c r="I9" s="38">
        <v>3400</v>
      </c>
      <c r="J9" s="38">
        <v>34000</v>
      </c>
      <c r="K9" s="61">
        <v>-2030</v>
      </c>
      <c r="L9">
        <v>194</v>
      </c>
      <c r="M9" t="s">
        <v>217</v>
      </c>
      <c r="N9" s="33">
        <v>46488</v>
      </c>
      <c r="O9" s="36">
        <v>0.2</v>
      </c>
      <c r="P9"/>
    </row>
    <row r="10" spans="1:16" ht="14.4" x14ac:dyDescent="0.3">
      <c r="A10" t="s">
        <v>17</v>
      </c>
      <c r="B10" t="s">
        <v>17</v>
      </c>
      <c r="C10" t="s">
        <v>90</v>
      </c>
      <c r="D10" t="s">
        <v>11</v>
      </c>
      <c r="E10" s="33">
        <v>42891</v>
      </c>
      <c r="F10">
        <v>100</v>
      </c>
      <c r="G10" s="38">
        <v>280</v>
      </c>
      <c r="H10" s="38">
        <v>28025</v>
      </c>
      <c r="I10" s="38">
        <v>410</v>
      </c>
      <c r="J10" s="38">
        <v>41000</v>
      </c>
      <c r="K10" s="39">
        <v>12975</v>
      </c>
      <c r="L10">
        <v>3425</v>
      </c>
      <c r="M10" t="s">
        <v>213</v>
      </c>
      <c r="N10" s="33">
        <v>43257</v>
      </c>
      <c r="O10" s="36">
        <v>0.125</v>
      </c>
      <c r="P10">
        <v>270</v>
      </c>
    </row>
    <row r="11" spans="1:16" ht="14.4" x14ac:dyDescent="0.3">
      <c r="A11" t="s">
        <v>19</v>
      </c>
      <c r="B11" t="s">
        <v>87</v>
      </c>
      <c r="C11" t="s">
        <v>88</v>
      </c>
      <c r="D11" t="s">
        <v>11</v>
      </c>
      <c r="E11" s="33">
        <v>43301</v>
      </c>
      <c r="F11">
        <v>10</v>
      </c>
      <c r="G11" s="38">
        <v>1050</v>
      </c>
      <c r="H11" s="38">
        <v>10510</v>
      </c>
      <c r="I11" s="38">
        <v>1000</v>
      </c>
      <c r="J11" s="38">
        <v>10000</v>
      </c>
      <c r="K11" s="61">
        <v>-510</v>
      </c>
      <c r="L11">
        <v>3015</v>
      </c>
      <c r="M11" t="s">
        <v>213</v>
      </c>
      <c r="N11" s="33">
        <v>43667</v>
      </c>
      <c r="O11" s="36">
        <v>0.125</v>
      </c>
      <c r="P11"/>
    </row>
    <row r="12" spans="1:16" ht="14.4" x14ac:dyDescent="0.3">
      <c r="A12" t="s">
        <v>19</v>
      </c>
      <c r="B12" t="s">
        <v>87</v>
      </c>
      <c r="C12" t="s">
        <v>88</v>
      </c>
      <c r="D12" t="s">
        <v>11</v>
      </c>
      <c r="E12" s="33">
        <v>46063</v>
      </c>
      <c r="F12">
        <v>30</v>
      </c>
      <c r="G12" s="38">
        <v>920</v>
      </c>
      <c r="H12" s="38">
        <v>27630</v>
      </c>
      <c r="I12" s="38">
        <v>1000</v>
      </c>
      <c r="J12" s="38">
        <v>30000</v>
      </c>
      <c r="K12" s="39">
        <v>2370</v>
      </c>
      <c r="L12">
        <v>253</v>
      </c>
      <c r="M12" t="s">
        <v>217</v>
      </c>
      <c r="N12" s="33">
        <v>46429</v>
      </c>
      <c r="O12" s="36">
        <v>0.2</v>
      </c>
      <c r="P12"/>
    </row>
    <row r="13" spans="1:16" ht="14.4" x14ac:dyDescent="0.3">
      <c r="A13" t="s">
        <v>21</v>
      </c>
      <c r="B13" t="s">
        <v>89</v>
      </c>
      <c r="C13" t="s">
        <v>86</v>
      </c>
      <c r="D13" t="s">
        <v>11</v>
      </c>
      <c r="E13" s="33">
        <v>43536</v>
      </c>
      <c r="F13">
        <v>20</v>
      </c>
      <c r="G13" s="38">
        <v>740</v>
      </c>
      <c r="H13" s="38">
        <v>14813.33</v>
      </c>
      <c r="I13" s="38">
        <v>1500</v>
      </c>
      <c r="J13" s="38">
        <v>30000</v>
      </c>
      <c r="K13" s="39">
        <v>15186.67</v>
      </c>
      <c r="L13">
        <v>2780</v>
      </c>
      <c r="M13" t="s">
        <v>213</v>
      </c>
      <c r="N13" s="33">
        <v>43903</v>
      </c>
      <c r="O13" s="36">
        <v>0.125</v>
      </c>
      <c r="P13"/>
    </row>
    <row r="14" spans="1:16" ht="14.4" x14ac:dyDescent="0.3">
      <c r="A14" t="s">
        <v>21</v>
      </c>
      <c r="B14" t="s">
        <v>89</v>
      </c>
      <c r="C14" t="s">
        <v>86</v>
      </c>
      <c r="D14" t="s">
        <v>11</v>
      </c>
      <c r="E14" s="33">
        <v>45344</v>
      </c>
      <c r="F14">
        <v>30</v>
      </c>
      <c r="G14" s="38">
        <v>1650</v>
      </c>
      <c r="H14" s="38">
        <v>49540</v>
      </c>
      <c r="I14" s="38">
        <v>1500</v>
      </c>
      <c r="J14" s="38">
        <v>45000</v>
      </c>
      <c r="K14" s="61">
        <v>-4540</v>
      </c>
      <c r="L14">
        <v>972</v>
      </c>
      <c r="M14" t="s">
        <v>213</v>
      </c>
      <c r="N14" s="33">
        <v>45711</v>
      </c>
      <c r="O14" s="36">
        <v>0.125</v>
      </c>
      <c r="P14"/>
    </row>
    <row r="15" spans="1:16" ht="14.4" x14ac:dyDescent="0.3">
      <c r="A15" t="s">
        <v>23</v>
      </c>
      <c r="B15" t="s">
        <v>110</v>
      </c>
      <c r="C15" t="s">
        <v>111</v>
      </c>
      <c r="D15" t="s">
        <v>24</v>
      </c>
      <c r="E15" s="33">
        <v>43565</v>
      </c>
      <c r="F15">
        <v>1000</v>
      </c>
      <c r="G15" s="38">
        <v>30</v>
      </c>
      <c r="H15" s="38">
        <v>30000</v>
      </c>
      <c r="I15" s="38">
        <v>85</v>
      </c>
      <c r="J15" s="38">
        <v>85000</v>
      </c>
      <c r="K15" s="39">
        <v>55000</v>
      </c>
      <c r="L15">
        <v>2751</v>
      </c>
      <c r="M15" t="s">
        <v>213</v>
      </c>
      <c r="N15" s="33">
        <v>43932</v>
      </c>
      <c r="O15" s="36">
        <v>0.125</v>
      </c>
      <c r="P15"/>
    </row>
    <row r="16" spans="1:16" ht="14.4" x14ac:dyDescent="0.3">
      <c r="A16" t="s">
        <v>27</v>
      </c>
      <c r="B16" t="s">
        <v>93</v>
      </c>
      <c r="C16" t="s">
        <v>88</v>
      </c>
      <c r="D16" t="s">
        <v>11</v>
      </c>
      <c r="E16" s="33">
        <v>43915</v>
      </c>
      <c r="F16">
        <v>200</v>
      </c>
      <c r="G16" s="38">
        <v>190</v>
      </c>
      <c r="H16" s="38">
        <v>38033.33</v>
      </c>
      <c r="I16" s="38">
        <v>820</v>
      </c>
      <c r="J16" s="38">
        <v>164000</v>
      </c>
      <c r="K16" s="39">
        <v>125966.67</v>
      </c>
      <c r="L16">
        <v>2401</v>
      </c>
      <c r="M16" t="s">
        <v>213</v>
      </c>
      <c r="N16" s="33">
        <v>44281</v>
      </c>
      <c r="O16" s="36">
        <v>0.125</v>
      </c>
      <c r="P16"/>
    </row>
    <row r="17" spans="1:16" ht="14.4" x14ac:dyDescent="0.3">
      <c r="A17" t="s">
        <v>30</v>
      </c>
      <c r="B17" t="s">
        <v>91</v>
      </c>
      <c r="C17" t="s">
        <v>92</v>
      </c>
      <c r="D17" t="s">
        <v>11</v>
      </c>
      <c r="E17" s="33">
        <v>44061</v>
      </c>
      <c r="F17">
        <v>15</v>
      </c>
      <c r="G17" s="38">
        <v>950</v>
      </c>
      <c r="H17" s="38">
        <v>14265</v>
      </c>
      <c r="I17" s="38">
        <v>3700</v>
      </c>
      <c r="J17" s="38">
        <v>55500</v>
      </c>
      <c r="K17" s="39">
        <v>41235</v>
      </c>
      <c r="L17">
        <v>2255</v>
      </c>
      <c r="M17" t="s">
        <v>213</v>
      </c>
      <c r="N17" s="33">
        <v>44427</v>
      </c>
      <c r="O17" s="36">
        <v>0.125</v>
      </c>
      <c r="P17"/>
    </row>
    <row r="18" spans="1:16" ht="14.4" x14ac:dyDescent="0.3">
      <c r="A18" t="s">
        <v>32</v>
      </c>
      <c r="B18" t="s">
        <v>96</v>
      </c>
      <c r="C18" t="s">
        <v>97</v>
      </c>
      <c r="D18" t="s">
        <v>11</v>
      </c>
      <c r="E18" s="33">
        <v>44237</v>
      </c>
      <c r="F18">
        <v>10</v>
      </c>
      <c r="G18" s="38">
        <v>1450</v>
      </c>
      <c r="H18" s="38">
        <v>14512.5</v>
      </c>
      <c r="I18" s="38">
        <v>3600</v>
      </c>
      <c r="J18" s="38">
        <v>36000</v>
      </c>
      <c r="K18" s="39">
        <v>21487.5</v>
      </c>
      <c r="L18">
        <v>2079</v>
      </c>
      <c r="M18" t="s">
        <v>213</v>
      </c>
      <c r="N18" s="33">
        <v>44603</v>
      </c>
      <c r="O18" s="36">
        <v>0.125</v>
      </c>
      <c r="P18"/>
    </row>
    <row r="19" spans="1:16" ht="14.4" x14ac:dyDescent="0.3">
      <c r="A19" t="s">
        <v>32</v>
      </c>
      <c r="B19" t="s">
        <v>96</v>
      </c>
      <c r="C19" t="s">
        <v>97</v>
      </c>
      <c r="D19" t="s">
        <v>11</v>
      </c>
      <c r="E19" s="33">
        <v>45828</v>
      </c>
      <c r="F19">
        <v>10</v>
      </c>
      <c r="G19" s="38">
        <v>3500</v>
      </c>
      <c r="H19" s="38">
        <v>35030</v>
      </c>
      <c r="I19" s="38">
        <v>3600</v>
      </c>
      <c r="J19" s="38">
        <v>36000</v>
      </c>
      <c r="K19" s="39">
        <v>970</v>
      </c>
      <c r="L19">
        <v>488</v>
      </c>
      <c r="M19" t="s">
        <v>213</v>
      </c>
      <c r="N19" s="33">
        <v>46194</v>
      </c>
      <c r="O19" s="36">
        <v>0.125</v>
      </c>
      <c r="P19"/>
    </row>
    <row r="20" spans="1:16" ht="14.4" x14ac:dyDescent="0.3">
      <c r="A20" t="s">
        <v>34</v>
      </c>
      <c r="B20" t="s">
        <v>98</v>
      </c>
      <c r="C20" t="s">
        <v>97</v>
      </c>
      <c r="D20" t="s">
        <v>11</v>
      </c>
      <c r="E20" s="33">
        <v>44484</v>
      </c>
      <c r="F20">
        <v>5</v>
      </c>
      <c r="G20" s="38">
        <v>3300</v>
      </c>
      <c r="H20" s="38">
        <v>16513.330000000002</v>
      </c>
      <c r="I20" s="38">
        <v>2400</v>
      </c>
      <c r="J20" s="38">
        <v>12000</v>
      </c>
      <c r="K20" s="61">
        <v>-4513.33</v>
      </c>
      <c r="L20">
        <v>1832</v>
      </c>
      <c r="M20" t="s">
        <v>213</v>
      </c>
      <c r="N20" s="33">
        <v>44850</v>
      </c>
      <c r="O20" s="36">
        <v>0.125</v>
      </c>
      <c r="P20"/>
    </row>
    <row r="21" spans="1:16" ht="14.4" x14ac:dyDescent="0.3">
      <c r="A21" t="s">
        <v>34</v>
      </c>
      <c r="B21" t="s">
        <v>98</v>
      </c>
      <c r="C21" t="s">
        <v>97</v>
      </c>
      <c r="D21" t="s">
        <v>11</v>
      </c>
      <c r="E21" s="33">
        <v>45726</v>
      </c>
      <c r="F21">
        <v>10</v>
      </c>
      <c r="G21" s="38">
        <v>2250</v>
      </c>
      <c r="H21" s="38">
        <v>22525</v>
      </c>
      <c r="I21" s="38">
        <v>2400</v>
      </c>
      <c r="J21" s="38">
        <v>24000</v>
      </c>
      <c r="K21" s="39">
        <v>1475</v>
      </c>
      <c r="L21">
        <v>590</v>
      </c>
      <c r="M21" t="s">
        <v>213</v>
      </c>
      <c r="N21" s="33">
        <v>46092</v>
      </c>
      <c r="O21" s="36">
        <v>0.125</v>
      </c>
      <c r="P21"/>
    </row>
    <row r="22" spans="1:16" ht="14.4" x14ac:dyDescent="0.3">
      <c r="A22" t="s">
        <v>36</v>
      </c>
      <c r="B22" t="s">
        <v>99</v>
      </c>
      <c r="C22" t="s">
        <v>100</v>
      </c>
      <c r="D22" t="s">
        <v>11</v>
      </c>
      <c r="E22" s="33">
        <v>44690</v>
      </c>
      <c r="F22">
        <v>10</v>
      </c>
      <c r="G22" s="38">
        <v>860</v>
      </c>
      <c r="H22" s="38">
        <v>8607.5</v>
      </c>
      <c r="I22" s="38">
        <v>1650</v>
      </c>
      <c r="J22" s="38">
        <v>16500</v>
      </c>
      <c r="K22" s="39">
        <v>7892.5</v>
      </c>
      <c r="L22">
        <v>1626</v>
      </c>
      <c r="M22" t="s">
        <v>213</v>
      </c>
      <c r="N22" s="33">
        <v>45056</v>
      </c>
      <c r="O22" s="36">
        <v>0.125</v>
      </c>
      <c r="P22"/>
    </row>
    <row r="23" spans="1:16" ht="14.4" x14ac:dyDescent="0.3">
      <c r="A23" t="s">
        <v>36</v>
      </c>
      <c r="B23" t="s">
        <v>99</v>
      </c>
      <c r="C23" t="s">
        <v>100</v>
      </c>
      <c r="D23" t="s">
        <v>11</v>
      </c>
      <c r="E23" s="33">
        <v>46096</v>
      </c>
      <c r="F23">
        <v>30</v>
      </c>
      <c r="G23" s="38">
        <v>1780</v>
      </c>
      <c r="H23" s="38">
        <v>53435</v>
      </c>
      <c r="I23" s="38">
        <v>1650</v>
      </c>
      <c r="J23" s="38">
        <v>49500</v>
      </c>
      <c r="K23" s="61">
        <v>-3935</v>
      </c>
      <c r="L23">
        <v>220</v>
      </c>
      <c r="M23" t="s">
        <v>217</v>
      </c>
      <c r="N23" s="33">
        <v>46462</v>
      </c>
      <c r="O23" s="36">
        <v>0.2</v>
      </c>
      <c r="P23"/>
    </row>
    <row r="24" spans="1:16" ht="14.4" x14ac:dyDescent="0.3">
      <c r="A24" t="s">
        <v>40</v>
      </c>
      <c r="B24" t="s">
        <v>94</v>
      </c>
      <c r="C24" t="s">
        <v>95</v>
      </c>
      <c r="D24" t="s">
        <v>11</v>
      </c>
      <c r="E24" s="33">
        <v>44929</v>
      </c>
      <c r="F24">
        <v>50</v>
      </c>
      <c r="G24" s="38">
        <v>650</v>
      </c>
      <c r="H24" s="38">
        <v>32530</v>
      </c>
      <c r="I24" s="38">
        <v>900</v>
      </c>
      <c r="J24" s="38">
        <v>45000</v>
      </c>
      <c r="K24" s="39">
        <v>12470</v>
      </c>
      <c r="L24">
        <v>1387</v>
      </c>
      <c r="M24" t="s">
        <v>213</v>
      </c>
      <c r="N24" s="33">
        <v>45295</v>
      </c>
      <c r="O24" s="36">
        <v>0.125</v>
      </c>
      <c r="P24"/>
    </row>
    <row r="25" spans="1:16" ht="14.4" x14ac:dyDescent="0.3">
      <c r="A25" t="s">
        <v>40</v>
      </c>
      <c r="B25" t="s">
        <v>94</v>
      </c>
      <c r="C25" t="s">
        <v>95</v>
      </c>
      <c r="D25" t="s">
        <v>11</v>
      </c>
      <c r="E25" s="33">
        <v>46266</v>
      </c>
      <c r="F25">
        <v>40</v>
      </c>
      <c r="G25" s="38">
        <v>950</v>
      </c>
      <c r="H25" s="38">
        <v>38030</v>
      </c>
      <c r="I25" s="38">
        <v>900</v>
      </c>
      <c r="J25" s="38">
        <v>36000</v>
      </c>
      <c r="K25" s="61">
        <v>-2030</v>
      </c>
      <c r="L25">
        <v>50</v>
      </c>
      <c r="M25" t="s">
        <v>217</v>
      </c>
      <c r="N25" s="33">
        <v>46632</v>
      </c>
      <c r="O25" s="36">
        <v>0.2</v>
      </c>
      <c r="P25"/>
    </row>
    <row r="26" spans="1:16" ht="14.4" x14ac:dyDescent="0.3">
      <c r="A26" t="s">
        <v>65</v>
      </c>
      <c r="B26" t="s">
        <v>106</v>
      </c>
      <c r="C26" t="s">
        <v>107</v>
      </c>
      <c r="D26" t="s">
        <v>11</v>
      </c>
      <c r="E26" s="33">
        <v>46178</v>
      </c>
      <c r="F26">
        <v>300</v>
      </c>
      <c r="G26" s="38">
        <v>260</v>
      </c>
      <c r="H26" s="38">
        <v>78040</v>
      </c>
      <c r="I26" s="38">
        <v>235</v>
      </c>
      <c r="J26" s="38">
        <v>70500</v>
      </c>
      <c r="K26" s="61">
        <v>-7540</v>
      </c>
      <c r="L26">
        <v>138</v>
      </c>
      <c r="M26" t="s">
        <v>217</v>
      </c>
      <c r="N26" s="33">
        <v>46544</v>
      </c>
      <c r="O26" s="36">
        <v>0.2</v>
      </c>
      <c r="P26"/>
    </row>
    <row r="27" spans="1:16" ht="14.4" x14ac:dyDescent="0.3">
      <c r="A27" t="s">
        <v>71</v>
      </c>
      <c r="B27" t="s">
        <v>108</v>
      </c>
      <c r="C27" t="s">
        <v>109</v>
      </c>
      <c r="D27" t="s">
        <v>11</v>
      </c>
      <c r="E27" s="33">
        <v>46235</v>
      </c>
      <c r="F27">
        <v>50</v>
      </c>
      <c r="G27" s="38">
        <v>1400</v>
      </c>
      <c r="H27" s="38">
        <v>70030</v>
      </c>
      <c r="I27" s="38">
        <v>1250</v>
      </c>
      <c r="J27" s="38">
        <v>62500</v>
      </c>
      <c r="K27" s="61">
        <v>-7530</v>
      </c>
      <c r="L27">
        <v>81</v>
      </c>
      <c r="M27" t="s">
        <v>217</v>
      </c>
      <c r="N27" s="33">
        <v>46601</v>
      </c>
      <c r="O27" s="36">
        <v>0.2</v>
      </c>
      <c r="P2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F296A-303E-4822-91A2-61AD38333D43}">
  <sheetPr codeName="Sheet8">
    <tabColor rgb="FFC55A11"/>
  </sheetPr>
  <dimension ref="A1:C20"/>
  <sheetViews>
    <sheetView showGridLines="0" workbookViewId="0"/>
  </sheetViews>
  <sheetFormatPr defaultRowHeight="13.8" x14ac:dyDescent="0.3"/>
  <cols>
    <col min="1" max="1" width="52.77734375" style="3" customWidth="1"/>
    <col min="2" max="2" width="14.77734375" style="3" customWidth="1"/>
    <col min="3" max="3" width="90.77734375" style="3" customWidth="1"/>
    <col min="4" max="16384" width="8.88671875" style="3"/>
  </cols>
  <sheetData>
    <row r="1" spans="1:3" ht="21" x14ac:dyDescent="0.4">
      <c r="A1" s="4" t="s">
        <v>114</v>
      </c>
    </row>
    <row r="2" spans="1:3" x14ac:dyDescent="0.3">
      <c r="A2" s="5" t="s">
        <v>115</v>
      </c>
    </row>
    <row r="4" spans="1:3" x14ac:dyDescent="0.3">
      <c r="A4" s="7" t="s">
        <v>116</v>
      </c>
      <c r="B4" s="7" t="s">
        <v>117</v>
      </c>
      <c r="C4" s="7" t="s">
        <v>118</v>
      </c>
    </row>
    <row r="5" spans="1:3" x14ac:dyDescent="0.3">
      <c r="A5" s="3" t="s">
        <v>119</v>
      </c>
      <c r="B5" s="8">
        <v>12</v>
      </c>
      <c r="C5" s="9" t="s">
        <v>120</v>
      </c>
    </row>
    <row r="6" spans="1:3" x14ac:dyDescent="0.3">
      <c r="A6" s="3" t="s">
        <v>121</v>
      </c>
      <c r="B6" s="8">
        <v>24</v>
      </c>
      <c r="C6" s="9" t="s">
        <v>122</v>
      </c>
    </row>
    <row r="7" spans="1:3" x14ac:dyDescent="0.3">
      <c r="A7" s="3" t="s">
        <v>123</v>
      </c>
      <c r="B7" s="11">
        <v>45496</v>
      </c>
      <c r="C7" s="9" t="s">
        <v>124</v>
      </c>
    </row>
    <row r="8" spans="1:3" x14ac:dyDescent="0.3">
      <c r="A8" s="3" t="s">
        <v>125</v>
      </c>
      <c r="B8" s="12">
        <v>0.15</v>
      </c>
      <c r="C8" s="9" t="s">
        <v>126</v>
      </c>
    </row>
    <row r="9" spans="1:3" x14ac:dyDescent="0.3">
      <c r="A9" s="3" t="s">
        <v>127</v>
      </c>
      <c r="B9" s="12">
        <v>0.2</v>
      </c>
      <c r="C9" s="9" t="s">
        <v>126</v>
      </c>
    </row>
    <row r="10" spans="1:3" x14ac:dyDescent="0.3">
      <c r="A10" s="3" t="s">
        <v>128</v>
      </c>
      <c r="B10" s="12">
        <v>0.1</v>
      </c>
      <c r="C10" s="9" t="s">
        <v>129</v>
      </c>
    </row>
    <row r="11" spans="1:3" x14ac:dyDescent="0.3">
      <c r="A11" s="3" t="s">
        <v>130</v>
      </c>
      <c r="B11" s="12">
        <v>0.125</v>
      </c>
      <c r="C11" s="9" t="s">
        <v>129</v>
      </c>
    </row>
    <row r="12" spans="1:3" x14ac:dyDescent="0.3">
      <c r="A12" s="3" t="s">
        <v>131</v>
      </c>
      <c r="B12" s="12">
        <v>0.125</v>
      </c>
      <c r="C12" s="9" t="s">
        <v>132</v>
      </c>
    </row>
    <row r="13" spans="1:3" x14ac:dyDescent="0.3">
      <c r="A13" s="3" t="s">
        <v>133</v>
      </c>
      <c r="B13" s="13">
        <v>125000</v>
      </c>
      <c r="C13" s="9" t="s">
        <v>134</v>
      </c>
    </row>
    <row r="14" spans="1:3" x14ac:dyDescent="0.3">
      <c r="A14" s="3" t="s">
        <v>135</v>
      </c>
      <c r="B14" s="13">
        <v>100000</v>
      </c>
      <c r="C14" s="9" t="s">
        <v>136</v>
      </c>
    </row>
    <row r="15" spans="1:3" x14ac:dyDescent="0.3">
      <c r="A15" s="3" t="s">
        <v>137</v>
      </c>
      <c r="B15" s="11">
        <v>43131</v>
      </c>
      <c r="C15" s="9" t="s">
        <v>138</v>
      </c>
    </row>
    <row r="16" spans="1:3" x14ac:dyDescent="0.3">
      <c r="A16" s="3" t="s">
        <v>139</v>
      </c>
      <c r="B16" s="11">
        <v>45017</v>
      </c>
      <c r="C16" s="9" t="s">
        <v>140</v>
      </c>
    </row>
    <row r="17" spans="1:3" x14ac:dyDescent="0.3">
      <c r="A17" s="3" t="s">
        <v>141</v>
      </c>
      <c r="B17" s="12">
        <v>0.3</v>
      </c>
      <c r="C17" s="9" t="s">
        <v>142</v>
      </c>
    </row>
    <row r="18" spans="1:3" x14ac:dyDescent="0.3">
      <c r="A18" s="3" t="s">
        <v>143</v>
      </c>
      <c r="B18" s="14">
        <v>0.04</v>
      </c>
      <c r="C18" s="9" t="s">
        <v>144</v>
      </c>
    </row>
    <row r="20" spans="1:3" x14ac:dyDescent="0.3">
      <c r="A20" s="15" t="s">
        <v>145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D2D12-6055-47F5-A705-41BDAE35A28C}">
  <sheetPr codeName="Sheet9">
    <tabColor rgb="FF595959"/>
  </sheetPr>
  <dimension ref="A1:C9"/>
  <sheetViews>
    <sheetView showGridLines="0" workbookViewId="0"/>
  </sheetViews>
  <sheetFormatPr defaultRowHeight="13.8" x14ac:dyDescent="0.3"/>
  <cols>
    <col min="1" max="1" width="36.77734375" style="3" customWidth="1"/>
    <col min="2" max="2" width="40.77734375" style="3" customWidth="1"/>
    <col min="3" max="3" width="80.77734375" style="3" customWidth="1"/>
    <col min="4" max="16384" width="8.88671875" style="3"/>
  </cols>
  <sheetData>
    <row r="1" spans="1:3" ht="21" x14ac:dyDescent="0.4">
      <c r="A1" s="4" t="s">
        <v>146</v>
      </c>
    </row>
    <row r="2" spans="1:3" x14ac:dyDescent="0.3">
      <c r="A2" s="5" t="s">
        <v>147</v>
      </c>
    </row>
    <row r="4" spans="1:3" x14ac:dyDescent="0.3">
      <c r="A4" s="6" t="s">
        <v>148</v>
      </c>
      <c r="B4" s="16" t="s">
        <v>149</v>
      </c>
      <c r="C4" s="9" t="s">
        <v>150</v>
      </c>
    </row>
    <row r="5" spans="1:3" x14ac:dyDescent="0.3">
      <c r="A5" s="6" t="s">
        <v>151</v>
      </c>
      <c r="B5" s="14">
        <v>0.2</v>
      </c>
      <c r="C5" s="9" t="s">
        <v>152</v>
      </c>
    </row>
    <row r="6" spans="1:3" x14ac:dyDescent="0.3">
      <c r="A6" s="6" t="s">
        <v>153</v>
      </c>
      <c r="B6" s="14">
        <v>0.35</v>
      </c>
      <c r="C6" s="9" t="s">
        <v>154</v>
      </c>
    </row>
    <row r="7" spans="1:3" x14ac:dyDescent="0.3">
      <c r="A7" s="6" t="s">
        <v>155</v>
      </c>
      <c r="B7" s="16"/>
      <c r="C7" s="9" t="s">
        <v>156</v>
      </c>
    </row>
    <row r="8" spans="1:3" x14ac:dyDescent="0.3">
      <c r="A8" s="6" t="s">
        <v>157</v>
      </c>
      <c r="B8" s="16" t="s">
        <v>158</v>
      </c>
      <c r="C8" s="9" t="s">
        <v>159</v>
      </c>
    </row>
    <row r="9" spans="1:3" x14ac:dyDescent="0.3">
      <c r="A9" s="6" t="s">
        <v>160</v>
      </c>
      <c r="B9" s="16" t="s">
        <v>161</v>
      </c>
      <c r="C9" s="9" t="s">
        <v>162</v>
      </c>
    </row>
  </sheetData>
  <dataValidations count="2">
    <dataValidation type="list" allowBlank="1" showInputMessage="1" showErrorMessage="1" sqref="B4" xr:uid="{0BB770F8-17F5-4D2A-8582-73F055FDACE6}">
      <formula1>"Demo,Live"</formula1>
    </dataValidation>
    <dataValidation type="list" allowBlank="1" showInputMessage="1" showErrorMessage="1" sqref="B9" xr:uid="{16FF1608-25AF-4E88-B579-632C31AC21A0}">
      <formula1>"Live+Cache,CacheOnly"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537AF-F34C-48AF-8F4B-1F4FEAD95678}">
  <sheetPr codeName="Sheet10"/>
  <dimension ref="A1:H15"/>
  <sheetViews>
    <sheetView workbookViewId="0"/>
  </sheetViews>
  <sheetFormatPr defaultRowHeight="14.4" x14ac:dyDescent="0.3"/>
  <sheetData>
    <row r="1" spans="1:8" x14ac:dyDescent="0.3">
      <c r="A1" t="s">
        <v>81</v>
      </c>
      <c r="B1" t="s">
        <v>117</v>
      </c>
      <c r="D1" t="s">
        <v>197</v>
      </c>
      <c r="E1" t="s">
        <v>117</v>
      </c>
      <c r="G1" t="s">
        <v>197</v>
      </c>
      <c r="H1" t="s">
        <v>198</v>
      </c>
    </row>
    <row r="2" spans="1:8" x14ac:dyDescent="0.3">
      <c r="A2" t="s">
        <v>88</v>
      </c>
      <c r="B2">
        <v>204000</v>
      </c>
      <c r="D2" t="s">
        <v>30</v>
      </c>
      <c r="E2">
        <v>55500</v>
      </c>
      <c r="G2" t="s">
        <v>15</v>
      </c>
      <c r="H2">
        <v>-2030</v>
      </c>
    </row>
    <row r="3" spans="1:8" x14ac:dyDescent="0.3">
      <c r="A3" t="s">
        <v>86</v>
      </c>
      <c r="B3">
        <v>109000</v>
      </c>
      <c r="D3" t="s">
        <v>71</v>
      </c>
      <c r="E3">
        <v>62500</v>
      </c>
      <c r="G3" t="s">
        <v>34</v>
      </c>
      <c r="H3">
        <v>-3038</v>
      </c>
    </row>
    <row r="4" spans="1:8" x14ac:dyDescent="0.3">
      <c r="A4" t="s">
        <v>97</v>
      </c>
      <c r="B4">
        <v>108000</v>
      </c>
      <c r="D4" t="s">
        <v>36</v>
      </c>
      <c r="E4">
        <v>66000</v>
      </c>
      <c r="G4" t="s">
        <v>19</v>
      </c>
      <c r="H4">
        <v>1860</v>
      </c>
    </row>
    <row r="5" spans="1:8" x14ac:dyDescent="0.3">
      <c r="A5" t="s">
        <v>84</v>
      </c>
      <c r="B5">
        <v>101500</v>
      </c>
      <c r="D5" t="s">
        <v>65</v>
      </c>
      <c r="E5">
        <v>70500</v>
      </c>
      <c r="G5" t="s">
        <v>17</v>
      </c>
      <c r="H5">
        <v>12975</v>
      </c>
    </row>
    <row r="6" spans="1:8" x14ac:dyDescent="0.3">
      <c r="A6" t="s">
        <v>111</v>
      </c>
      <c r="B6">
        <v>85000</v>
      </c>
      <c r="D6" t="s">
        <v>32</v>
      </c>
      <c r="E6">
        <v>72000</v>
      </c>
      <c r="G6" t="s">
        <v>30</v>
      </c>
      <c r="H6">
        <v>41235</v>
      </c>
    </row>
    <row r="7" spans="1:8" x14ac:dyDescent="0.3">
      <c r="A7" t="s">
        <v>95</v>
      </c>
      <c r="B7">
        <v>81000</v>
      </c>
      <c r="D7" t="s">
        <v>21</v>
      </c>
      <c r="E7">
        <v>75000</v>
      </c>
      <c r="G7" t="s">
        <v>71</v>
      </c>
      <c r="H7">
        <v>-7530</v>
      </c>
    </row>
    <row r="8" spans="1:8" x14ac:dyDescent="0.3">
      <c r="A8" t="s">
        <v>107</v>
      </c>
      <c r="B8">
        <v>70500</v>
      </c>
      <c r="D8" t="s">
        <v>40</v>
      </c>
      <c r="E8">
        <v>81000</v>
      </c>
      <c r="G8" t="s">
        <v>36</v>
      </c>
      <c r="H8">
        <v>3958</v>
      </c>
    </row>
    <row r="9" spans="1:8" x14ac:dyDescent="0.3">
      <c r="A9" t="s">
        <v>100</v>
      </c>
      <c r="B9">
        <v>66000</v>
      </c>
      <c r="D9" t="s">
        <v>23</v>
      </c>
      <c r="E9">
        <v>85000</v>
      </c>
      <c r="G9" t="s">
        <v>65</v>
      </c>
      <c r="H9">
        <v>-7540</v>
      </c>
    </row>
    <row r="10" spans="1:8" x14ac:dyDescent="0.3">
      <c r="A10" t="s">
        <v>109</v>
      </c>
      <c r="B10">
        <v>62500</v>
      </c>
      <c r="D10" t="s">
        <v>10</v>
      </c>
      <c r="E10">
        <v>101500</v>
      </c>
      <c r="G10" t="s">
        <v>32</v>
      </c>
      <c r="H10">
        <v>22458</v>
      </c>
    </row>
    <row r="11" spans="1:8" x14ac:dyDescent="0.3">
      <c r="A11" t="s">
        <v>92</v>
      </c>
      <c r="B11">
        <v>55500</v>
      </c>
      <c r="D11" t="s">
        <v>27</v>
      </c>
      <c r="E11">
        <v>164000</v>
      </c>
      <c r="G11" t="s">
        <v>21</v>
      </c>
      <c r="H11">
        <v>10647</v>
      </c>
    </row>
    <row r="12" spans="1:8" x14ac:dyDescent="0.3">
      <c r="A12" t="s">
        <v>90</v>
      </c>
      <c r="B12">
        <v>41000</v>
      </c>
      <c r="G12" t="s">
        <v>40</v>
      </c>
      <c r="H12">
        <v>10440</v>
      </c>
    </row>
    <row r="13" spans="1:8" x14ac:dyDescent="0.3">
      <c r="G13" t="s">
        <v>23</v>
      </c>
      <c r="H13">
        <v>55000</v>
      </c>
    </row>
    <row r="14" spans="1:8" x14ac:dyDescent="0.3">
      <c r="G14" t="s">
        <v>10</v>
      </c>
      <c r="H14">
        <v>21029</v>
      </c>
    </row>
    <row r="15" spans="1:8" x14ac:dyDescent="0.3">
      <c r="G15" t="s">
        <v>27</v>
      </c>
      <c r="H15">
        <v>125967</v>
      </c>
    </row>
  </sheetData>
  <sortState xmlns:xlrd2="http://schemas.microsoft.com/office/spreadsheetml/2017/richdata2" ref="A2:B12">
    <sortCondition descending="1" ref="B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0B5B0-C373-4C3A-9D46-351C93DB6ADA}">
  <sheetPr codeName="Sheet1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463A7-C64D-40CE-9DE5-A270B0D9798B}">
  <sheetPr codeName="Sheet12"/>
  <dimension ref="A1:O44"/>
  <sheetViews>
    <sheetView workbookViewId="0"/>
  </sheetViews>
  <sheetFormatPr defaultRowHeight="14.4" x14ac:dyDescent="0.3"/>
  <sheetData>
    <row r="1" spans="1:15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L1" t="s">
        <v>1</v>
      </c>
      <c r="M1" t="s">
        <v>80</v>
      </c>
      <c r="N1" t="s">
        <v>81</v>
      </c>
      <c r="O1" t="s">
        <v>82</v>
      </c>
    </row>
    <row r="2" spans="1:15" x14ac:dyDescent="0.3">
      <c r="A2" s="1" t="s">
        <v>9</v>
      </c>
      <c r="B2" s="2" t="s">
        <v>10</v>
      </c>
      <c r="C2" s="2" t="s">
        <v>11</v>
      </c>
      <c r="D2" s="2" t="s">
        <v>12</v>
      </c>
      <c r="E2" s="2">
        <v>50</v>
      </c>
      <c r="F2" s="2">
        <v>520</v>
      </c>
      <c r="G2" s="2">
        <v>40</v>
      </c>
      <c r="H2" s="2">
        <v>460</v>
      </c>
      <c r="I2" s="2" t="s">
        <v>13</v>
      </c>
      <c r="L2" t="s">
        <v>10</v>
      </c>
      <c r="M2" t="s">
        <v>83</v>
      </c>
      <c r="N2" t="s">
        <v>84</v>
      </c>
      <c r="O2">
        <v>1450</v>
      </c>
    </row>
    <row r="3" spans="1:15" x14ac:dyDescent="0.3">
      <c r="A3" s="1" t="s">
        <v>14</v>
      </c>
      <c r="B3" s="2" t="s">
        <v>15</v>
      </c>
      <c r="C3" s="2" t="s">
        <v>11</v>
      </c>
      <c r="D3" s="2" t="s">
        <v>12</v>
      </c>
      <c r="E3" s="2">
        <v>30</v>
      </c>
      <c r="F3" s="2">
        <v>1200</v>
      </c>
      <c r="G3" s="2">
        <v>30</v>
      </c>
      <c r="H3" s="2">
        <v>1550</v>
      </c>
      <c r="L3" t="s">
        <v>15</v>
      </c>
      <c r="M3" t="s">
        <v>85</v>
      </c>
      <c r="N3" t="s">
        <v>86</v>
      </c>
      <c r="O3">
        <v>3400</v>
      </c>
    </row>
    <row r="4" spans="1:15" x14ac:dyDescent="0.3">
      <c r="A4" s="1" t="s">
        <v>16</v>
      </c>
      <c r="B4" s="2" t="s">
        <v>17</v>
      </c>
      <c r="C4" s="2" t="s">
        <v>11</v>
      </c>
      <c r="D4" s="2" t="s">
        <v>12</v>
      </c>
      <c r="E4" s="2">
        <v>200</v>
      </c>
      <c r="F4" s="2">
        <v>280</v>
      </c>
      <c r="G4" s="2">
        <v>50</v>
      </c>
      <c r="H4" s="2">
        <v>270</v>
      </c>
      <c r="L4" t="s">
        <v>19</v>
      </c>
      <c r="M4" t="s">
        <v>87</v>
      </c>
      <c r="N4" t="s">
        <v>88</v>
      </c>
      <c r="O4">
        <v>1000</v>
      </c>
    </row>
    <row r="5" spans="1:15" x14ac:dyDescent="0.3">
      <c r="A5" s="1" t="s">
        <v>18</v>
      </c>
      <c r="B5" s="2" t="s">
        <v>19</v>
      </c>
      <c r="C5" s="2" t="s">
        <v>11</v>
      </c>
      <c r="D5" s="2" t="s">
        <v>12</v>
      </c>
      <c r="E5" s="2">
        <v>40</v>
      </c>
      <c r="F5" s="2">
        <v>1050</v>
      </c>
      <c r="G5" s="2">
        <v>40</v>
      </c>
      <c r="L5" t="s">
        <v>21</v>
      </c>
      <c r="M5" t="s">
        <v>89</v>
      </c>
      <c r="N5" t="s">
        <v>86</v>
      </c>
      <c r="O5">
        <v>1500</v>
      </c>
    </row>
    <row r="6" spans="1:15" x14ac:dyDescent="0.3">
      <c r="A6" s="1" t="s">
        <v>20</v>
      </c>
      <c r="B6" s="2" t="s">
        <v>21</v>
      </c>
      <c r="C6" s="2" t="s">
        <v>11</v>
      </c>
      <c r="D6" s="2" t="s">
        <v>12</v>
      </c>
      <c r="E6" s="2">
        <v>60</v>
      </c>
      <c r="F6" s="2">
        <v>740</v>
      </c>
      <c r="G6" s="2">
        <v>40</v>
      </c>
      <c r="L6" t="s">
        <v>17</v>
      </c>
      <c r="M6" t="s">
        <v>17</v>
      </c>
      <c r="N6" t="s">
        <v>90</v>
      </c>
      <c r="O6">
        <v>410</v>
      </c>
    </row>
    <row r="7" spans="1:15" x14ac:dyDescent="0.3">
      <c r="A7" s="1" t="s">
        <v>22</v>
      </c>
      <c r="B7" s="2" t="s">
        <v>23</v>
      </c>
      <c r="C7" s="2" t="s">
        <v>24</v>
      </c>
      <c r="D7" s="2" t="s">
        <v>12</v>
      </c>
      <c r="E7" s="2">
        <v>1000</v>
      </c>
      <c r="F7" s="2">
        <v>30</v>
      </c>
      <c r="G7" s="2">
        <v>0</v>
      </c>
      <c r="I7" s="2" t="s">
        <v>25</v>
      </c>
      <c r="L7" t="s">
        <v>30</v>
      </c>
      <c r="M7" t="s">
        <v>91</v>
      </c>
      <c r="N7" t="s">
        <v>92</v>
      </c>
      <c r="O7">
        <v>3700</v>
      </c>
    </row>
    <row r="8" spans="1:15" x14ac:dyDescent="0.3">
      <c r="A8" s="1" t="s">
        <v>26</v>
      </c>
      <c r="B8" s="2" t="s">
        <v>27</v>
      </c>
      <c r="C8" s="2" t="s">
        <v>11</v>
      </c>
      <c r="D8" s="2" t="s">
        <v>12</v>
      </c>
      <c r="E8" s="2">
        <v>300</v>
      </c>
      <c r="F8" s="2">
        <v>190</v>
      </c>
      <c r="G8" s="2">
        <v>50</v>
      </c>
      <c r="I8" s="2" t="s">
        <v>28</v>
      </c>
      <c r="L8" t="s">
        <v>27</v>
      </c>
      <c r="M8" t="s">
        <v>93</v>
      </c>
      <c r="N8" t="s">
        <v>88</v>
      </c>
      <c r="O8">
        <v>820</v>
      </c>
    </row>
    <row r="9" spans="1:15" x14ac:dyDescent="0.3">
      <c r="A9" s="1" t="s">
        <v>29</v>
      </c>
      <c r="B9" s="2" t="s">
        <v>30</v>
      </c>
      <c r="C9" s="2" t="s">
        <v>11</v>
      </c>
      <c r="D9" s="2" t="s">
        <v>12</v>
      </c>
      <c r="E9" s="2">
        <v>25</v>
      </c>
      <c r="F9" s="2">
        <v>950</v>
      </c>
      <c r="G9" s="2">
        <v>25</v>
      </c>
      <c r="L9" t="s">
        <v>40</v>
      </c>
      <c r="M9" t="s">
        <v>94</v>
      </c>
      <c r="N9" t="s">
        <v>95</v>
      </c>
      <c r="O9">
        <v>900</v>
      </c>
    </row>
    <row r="10" spans="1:15" x14ac:dyDescent="0.3">
      <c r="A10" s="1" t="s">
        <v>31</v>
      </c>
      <c r="B10" s="2" t="s">
        <v>32</v>
      </c>
      <c r="C10" s="2" t="s">
        <v>11</v>
      </c>
      <c r="D10" s="2" t="s">
        <v>12</v>
      </c>
      <c r="E10" s="2">
        <v>20</v>
      </c>
      <c r="F10" s="2">
        <v>1450</v>
      </c>
      <c r="G10" s="2">
        <v>25</v>
      </c>
      <c r="L10" t="s">
        <v>32</v>
      </c>
      <c r="M10" t="s">
        <v>96</v>
      </c>
      <c r="N10" t="s">
        <v>97</v>
      </c>
      <c r="O10">
        <v>3600</v>
      </c>
    </row>
    <row r="11" spans="1:15" x14ac:dyDescent="0.3">
      <c r="A11" s="1" t="s">
        <v>33</v>
      </c>
      <c r="B11" s="2" t="s">
        <v>34</v>
      </c>
      <c r="C11" s="2" t="s">
        <v>11</v>
      </c>
      <c r="D11" s="2" t="s">
        <v>12</v>
      </c>
      <c r="E11" s="2">
        <v>15</v>
      </c>
      <c r="F11" s="2">
        <v>3300</v>
      </c>
      <c r="G11" s="2">
        <v>40</v>
      </c>
      <c r="L11" t="s">
        <v>34</v>
      </c>
      <c r="M11" t="s">
        <v>98</v>
      </c>
      <c r="N11" t="s">
        <v>97</v>
      </c>
      <c r="O11">
        <v>2400</v>
      </c>
    </row>
    <row r="12" spans="1:15" x14ac:dyDescent="0.3">
      <c r="A12" s="1" t="s">
        <v>35</v>
      </c>
      <c r="B12" s="2" t="s">
        <v>36</v>
      </c>
      <c r="C12" s="2" t="s">
        <v>11</v>
      </c>
      <c r="D12" s="2" t="s">
        <v>12</v>
      </c>
      <c r="E12" s="2">
        <v>40</v>
      </c>
      <c r="F12" s="2">
        <v>860</v>
      </c>
      <c r="G12" s="2">
        <v>30</v>
      </c>
      <c r="L12" t="s">
        <v>36</v>
      </c>
      <c r="M12" t="s">
        <v>99</v>
      </c>
      <c r="N12" t="s">
        <v>100</v>
      </c>
      <c r="O12">
        <v>1650</v>
      </c>
    </row>
    <row r="13" spans="1:15" x14ac:dyDescent="0.3">
      <c r="A13" s="1" t="s">
        <v>37</v>
      </c>
      <c r="B13" s="2" t="s">
        <v>38</v>
      </c>
      <c r="C13" s="2" t="s">
        <v>11</v>
      </c>
      <c r="D13" s="2" t="s">
        <v>12</v>
      </c>
      <c r="E13" s="2">
        <v>150</v>
      </c>
      <c r="F13" s="2">
        <v>420</v>
      </c>
      <c r="G13" s="2">
        <v>50</v>
      </c>
      <c r="L13" t="s">
        <v>38</v>
      </c>
      <c r="M13" t="s">
        <v>101</v>
      </c>
      <c r="N13" t="s">
        <v>102</v>
      </c>
      <c r="O13">
        <v>700</v>
      </c>
    </row>
    <row r="14" spans="1:15" x14ac:dyDescent="0.3">
      <c r="A14" s="1" t="s">
        <v>39</v>
      </c>
      <c r="B14" s="2" t="s">
        <v>40</v>
      </c>
      <c r="C14" s="2" t="s">
        <v>11</v>
      </c>
      <c r="D14" s="2" t="s">
        <v>12</v>
      </c>
      <c r="E14" s="2">
        <v>50</v>
      </c>
      <c r="F14" s="2">
        <v>650</v>
      </c>
      <c r="G14" s="2">
        <v>30</v>
      </c>
      <c r="L14" t="s">
        <v>59</v>
      </c>
      <c r="M14" t="s">
        <v>103</v>
      </c>
      <c r="N14" t="s">
        <v>95</v>
      </c>
      <c r="O14">
        <v>150</v>
      </c>
    </row>
    <row r="15" spans="1:15" x14ac:dyDescent="0.3">
      <c r="A15" s="1" t="s">
        <v>41</v>
      </c>
      <c r="B15" s="2" t="s">
        <v>10</v>
      </c>
      <c r="C15" s="2" t="s">
        <v>11</v>
      </c>
      <c r="D15" s="2" t="s">
        <v>12</v>
      </c>
      <c r="E15" s="2">
        <v>20</v>
      </c>
      <c r="F15" s="2">
        <v>1250</v>
      </c>
      <c r="G15" s="2">
        <v>25</v>
      </c>
      <c r="L15" t="s">
        <v>62</v>
      </c>
      <c r="M15" t="s">
        <v>104</v>
      </c>
      <c r="N15" t="s">
        <v>105</v>
      </c>
      <c r="O15">
        <v>4300</v>
      </c>
    </row>
    <row r="16" spans="1:15" x14ac:dyDescent="0.3">
      <c r="A16" s="1" t="s">
        <v>42</v>
      </c>
      <c r="B16" s="2" t="s">
        <v>43</v>
      </c>
      <c r="C16" s="2" t="s">
        <v>44</v>
      </c>
      <c r="D16" s="2" t="s">
        <v>12</v>
      </c>
      <c r="E16" s="2">
        <v>2000</v>
      </c>
      <c r="F16" s="2">
        <v>28</v>
      </c>
      <c r="G16" s="2">
        <v>0</v>
      </c>
      <c r="I16" s="2" t="s">
        <v>45</v>
      </c>
      <c r="L16" t="s">
        <v>65</v>
      </c>
      <c r="M16" t="s">
        <v>106</v>
      </c>
      <c r="N16" t="s">
        <v>107</v>
      </c>
      <c r="O16">
        <v>235</v>
      </c>
    </row>
    <row r="17" spans="1:15" x14ac:dyDescent="0.3">
      <c r="A17" s="1" t="s">
        <v>46</v>
      </c>
      <c r="B17" s="2" t="s">
        <v>21</v>
      </c>
      <c r="C17" s="2" t="s">
        <v>11</v>
      </c>
      <c r="D17" s="2" t="s">
        <v>12</v>
      </c>
      <c r="E17" s="2">
        <v>30</v>
      </c>
      <c r="F17" s="2">
        <v>1650</v>
      </c>
      <c r="G17" s="2">
        <v>40</v>
      </c>
      <c r="L17" t="s">
        <v>71</v>
      </c>
      <c r="M17" t="s">
        <v>108</v>
      </c>
      <c r="N17" t="s">
        <v>109</v>
      </c>
      <c r="O17">
        <v>1250</v>
      </c>
    </row>
    <row r="18" spans="1:15" x14ac:dyDescent="0.3">
      <c r="A18" s="1" t="s">
        <v>47</v>
      </c>
      <c r="B18" s="2" t="s">
        <v>38</v>
      </c>
      <c r="C18" s="2" t="s">
        <v>11</v>
      </c>
      <c r="D18" s="2" t="s">
        <v>48</v>
      </c>
      <c r="E18" s="2">
        <v>100</v>
      </c>
      <c r="F18" s="2">
        <v>1050</v>
      </c>
      <c r="G18" s="2">
        <v>80</v>
      </c>
      <c r="L18" t="s">
        <v>23</v>
      </c>
      <c r="M18" t="s">
        <v>110</v>
      </c>
      <c r="N18" t="s">
        <v>111</v>
      </c>
      <c r="O18">
        <v>85</v>
      </c>
    </row>
    <row r="19" spans="1:15" x14ac:dyDescent="0.3">
      <c r="A19" s="1" t="s">
        <v>49</v>
      </c>
      <c r="B19" s="2" t="s">
        <v>15</v>
      </c>
      <c r="C19" s="2" t="s">
        <v>11</v>
      </c>
      <c r="D19" s="2" t="s">
        <v>48</v>
      </c>
      <c r="E19" s="2">
        <v>10</v>
      </c>
      <c r="F19" s="2">
        <v>4200</v>
      </c>
      <c r="G19" s="2">
        <v>40</v>
      </c>
      <c r="I19" s="2" t="s">
        <v>50</v>
      </c>
      <c r="L19" t="s">
        <v>43</v>
      </c>
      <c r="M19" t="s">
        <v>112</v>
      </c>
      <c r="N19" t="s">
        <v>113</v>
      </c>
      <c r="O19">
        <v>32</v>
      </c>
    </row>
    <row r="20" spans="1:15" x14ac:dyDescent="0.3">
      <c r="A20" s="1" t="s">
        <v>51</v>
      </c>
      <c r="B20" s="2" t="s">
        <v>17</v>
      </c>
      <c r="C20" s="2" t="s">
        <v>11</v>
      </c>
      <c r="D20" s="2" t="s">
        <v>48</v>
      </c>
      <c r="E20" s="2">
        <v>100</v>
      </c>
      <c r="F20" s="2">
        <v>470</v>
      </c>
      <c r="G20" s="2">
        <v>40</v>
      </c>
      <c r="I20" s="2" t="s">
        <v>50</v>
      </c>
    </row>
    <row r="21" spans="1:15" x14ac:dyDescent="0.3">
      <c r="A21" s="1" t="s">
        <v>52</v>
      </c>
      <c r="B21" s="2" t="s">
        <v>34</v>
      </c>
      <c r="C21" s="2" t="s">
        <v>11</v>
      </c>
      <c r="D21" s="2" t="s">
        <v>12</v>
      </c>
      <c r="E21" s="2">
        <v>10</v>
      </c>
      <c r="F21" s="2">
        <v>2250</v>
      </c>
      <c r="G21" s="2">
        <v>25</v>
      </c>
    </row>
    <row r="22" spans="1:15" x14ac:dyDescent="0.3">
      <c r="A22" s="1" t="s">
        <v>53</v>
      </c>
      <c r="B22" s="2" t="s">
        <v>27</v>
      </c>
      <c r="C22" s="2" t="s">
        <v>11</v>
      </c>
      <c r="D22" s="2" t="s">
        <v>48</v>
      </c>
      <c r="E22" s="2">
        <v>100</v>
      </c>
      <c r="F22" s="2">
        <v>790</v>
      </c>
      <c r="G22" s="2">
        <v>50</v>
      </c>
    </row>
    <row r="23" spans="1:15" x14ac:dyDescent="0.3">
      <c r="A23" s="1" t="s">
        <v>54</v>
      </c>
      <c r="B23" s="2" t="s">
        <v>32</v>
      </c>
      <c r="C23" s="2" t="s">
        <v>11</v>
      </c>
      <c r="D23" s="2" t="s">
        <v>12</v>
      </c>
      <c r="E23" s="2">
        <v>10</v>
      </c>
      <c r="F23" s="2">
        <v>3500</v>
      </c>
      <c r="G23" s="2">
        <v>30</v>
      </c>
    </row>
    <row r="24" spans="1:15" x14ac:dyDescent="0.3">
      <c r="A24" s="1" t="s">
        <v>55</v>
      </c>
      <c r="B24" s="2" t="s">
        <v>30</v>
      </c>
      <c r="C24" s="2" t="s">
        <v>11</v>
      </c>
      <c r="D24" s="2" t="s">
        <v>48</v>
      </c>
      <c r="E24" s="2">
        <v>10</v>
      </c>
      <c r="F24" s="2">
        <v>3600</v>
      </c>
      <c r="G24" s="2">
        <v>40</v>
      </c>
    </row>
    <row r="25" spans="1:15" x14ac:dyDescent="0.3">
      <c r="A25" s="1" t="s">
        <v>56</v>
      </c>
      <c r="B25" s="2" t="s">
        <v>19</v>
      </c>
      <c r="C25" s="2" t="s">
        <v>11</v>
      </c>
      <c r="D25" s="2" t="s">
        <v>12</v>
      </c>
      <c r="E25" s="2">
        <v>30</v>
      </c>
      <c r="F25" s="2">
        <v>920</v>
      </c>
      <c r="G25" s="2">
        <v>30</v>
      </c>
    </row>
    <row r="26" spans="1:15" x14ac:dyDescent="0.3">
      <c r="A26" s="1" t="s">
        <v>57</v>
      </c>
      <c r="B26" s="2" t="s">
        <v>36</v>
      </c>
      <c r="C26" s="2" t="s">
        <v>11</v>
      </c>
      <c r="D26" s="2" t="s">
        <v>12</v>
      </c>
      <c r="E26" s="2">
        <v>30</v>
      </c>
      <c r="F26" s="2">
        <v>1780</v>
      </c>
      <c r="G26" s="2">
        <v>35</v>
      </c>
    </row>
    <row r="27" spans="1:15" x14ac:dyDescent="0.3">
      <c r="A27" s="1" t="s">
        <v>58</v>
      </c>
      <c r="B27" s="2" t="s">
        <v>59</v>
      </c>
      <c r="C27" s="2" t="s">
        <v>11</v>
      </c>
      <c r="D27" s="2" t="s">
        <v>12</v>
      </c>
      <c r="E27" s="2">
        <v>1000</v>
      </c>
      <c r="F27" s="2">
        <v>140</v>
      </c>
      <c r="G27" s="2">
        <v>40</v>
      </c>
    </row>
    <row r="28" spans="1:15" x14ac:dyDescent="0.3">
      <c r="A28" s="1" t="s">
        <v>60</v>
      </c>
      <c r="B28" s="2" t="s">
        <v>15</v>
      </c>
      <c r="C28" s="2" t="s">
        <v>11</v>
      </c>
      <c r="D28" s="2" t="s">
        <v>12</v>
      </c>
      <c r="E28" s="2">
        <v>10</v>
      </c>
      <c r="F28" s="2">
        <v>3600</v>
      </c>
      <c r="G28" s="2">
        <v>30</v>
      </c>
    </row>
    <row r="29" spans="1:15" x14ac:dyDescent="0.3">
      <c r="A29" s="1" t="s">
        <v>61</v>
      </c>
      <c r="B29" s="2" t="s">
        <v>62</v>
      </c>
      <c r="C29" s="2" t="s">
        <v>11</v>
      </c>
      <c r="D29" s="2" t="s">
        <v>12</v>
      </c>
      <c r="E29" s="2">
        <v>10</v>
      </c>
      <c r="F29" s="2">
        <v>4100</v>
      </c>
      <c r="G29" s="2">
        <v>30</v>
      </c>
    </row>
    <row r="30" spans="1:15" x14ac:dyDescent="0.3">
      <c r="A30" s="1" t="s">
        <v>63</v>
      </c>
      <c r="B30" s="2" t="s">
        <v>21</v>
      </c>
      <c r="C30" s="2" t="s">
        <v>11</v>
      </c>
      <c r="D30" s="2" t="s">
        <v>48</v>
      </c>
      <c r="E30" s="2">
        <v>40</v>
      </c>
      <c r="F30" s="2">
        <v>1550</v>
      </c>
      <c r="G30" s="2">
        <v>50</v>
      </c>
    </row>
    <row r="31" spans="1:15" x14ac:dyDescent="0.3">
      <c r="A31" s="1" t="s">
        <v>64</v>
      </c>
      <c r="B31" s="2" t="s">
        <v>65</v>
      </c>
      <c r="C31" s="2" t="s">
        <v>11</v>
      </c>
      <c r="D31" s="2" t="s">
        <v>12</v>
      </c>
      <c r="E31" s="2">
        <v>300</v>
      </c>
      <c r="F31" s="2">
        <v>260</v>
      </c>
      <c r="G31" s="2">
        <v>40</v>
      </c>
    </row>
    <row r="32" spans="1:15" x14ac:dyDescent="0.3">
      <c r="A32" s="1" t="s">
        <v>66</v>
      </c>
      <c r="B32" s="2" t="s">
        <v>38</v>
      </c>
      <c r="C32" s="2" t="s">
        <v>11</v>
      </c>
      <c r="D32" s="2" t="s">
        <v>48</v>
      </c>
      <c r="E32" s="2">
        <v>50</v>
      </c>
      <c r="F32" s="2">
        <v>760</v>
      </c>
      <c r="G32" s="2">
        <v>40</v>
      </c>
    </row>
    <row r="33" spans="1:9" x14ac:dyDescent="0.3">
      <c r="A33" s="1" t="s">
        <v>67</v>
      </c>
      <c r="B33" s="2" t="s">
        <v>10</v>
      </c>
      <c r="C33" s="2" t="s">
        <v>11</v>
      </c>
      <c r="D33" s="2" t="s">
        <v>12</v>
      </c>
      <c r="E33" s="2">
        <v>30</v>
      </c>
      <c r="F33" s="2">
        <v>1500</v>
      </c>
      <c r="G33" s="2">
        <v>30</v>
      </c>
    </row>
    <row r="34" spans="1:9" x14ac:dyDescent="0.3">
      <c r="A34" s="1" t="s">
        <v>68</v>
      </c>
      <c r="B34" s="2" t="s">
        <v>59</v>
      </c>
      <c r="C34" s="2" t="s">
        <v>11</v>
      </c>
      <c r="D34" s="2" t="s">
        <v>48</v>
      </c>
      <c r="E34" s="2">
        <v>1000</v>
      </c>
      <c r="F34" s="2">
        <v>168</v>
      </c>
      <c r="G34" s="2">
        <v>45</v>
      </c>
    </row>
    <row r="35" spans="1:9" x14ac:dyDescent="0.3">
      <c r="A35" s="1" t="s">
        <v>69</v>
      </c>
      <c r="B35" s="2" t="s">
        <v>19</v>
      </c>
      <c r="C35" s="2" t="s">
        <v>11</v>
      </c>
      <c r="D35" s="2" t="s">
        <v>48</v>
      </c>
      <c r="E35" s="2">
        <v>30</v>
      </c>
      <c r="F35" s="2">
        <v>980</v>
      </c>
      <c r="G35" s="2">
        <v>30</v>
      </c>
    </row>
    <row r="36" spans="1:9" x14ac:dyDescent="0.3">
      <c r="A36" s="1" t="s">
        <v>70</v>
      </c>
      <c r="B36" s="2" t="s">
        <v>71</v>
      </c>
      <c r="C36" s="2" t="s">
        <v>11</v>
      </c>
      <c r="D36" s="2" t="s">
        <v>12</v>
      </c>
      <c r="E36" s="2">
        <v>50</v>
      </c>
      <c r="F36" s="2">
        <v>1400</v>
      </c>
      <c r="G36" s="2">
        <v>30</v>
      </c>
    </row>
    <row r="37" spans="1:9" x14ac:dyDescent="0.3">
      <c r="A37" s="1" t="s">
        <v>72</v>
      </c>
      <c r="B37" s="2" t="s">
        <v>34</v>
      </c>
      <c r="C37" s="2" t="s">
        <v>11</v>
      </c>
      <c r="D37" s="2" t="s">
        <v>48</v>
      </c>
      <c r="E37" s="2">
        <v>10</v>
      </c>
      <c r="F37" s="2">
        <v>2500</v>
      </c>
      <c r="G37" s="2">
        <v>30</v>
      </c>
    </row>
    <row r="38" spans="1:9" x14ac:dyDescent="0.3">
      <c r="A38" s="1" t="s">
        <v>73</v>
      </c>
      <c r="B38" s="2" t="s">
        <v>62</v>
      </c>
      <c r="C38" s="2" t="s">
        <v>11</v>
      </c>
      <c r="D38" s="2" t="s">
        <v>48</v>
      </c>
      <c r="E38" s="2">
        <v>10</v>
      </c>
      <c r="F38" s="2">
        <v>4450</v>
      </c>
      <c r="G38" s="2">
        <v>30</v>
      </c>
    </row>
    <row r="39" spans="1:9" x14ac:dyDescent="0.3">
      <c r="A39" s="1" t="s">
        <v>74</v>
      </c>
      <c r="B39" s="2" t="s">
        <v>32</v>
      </c>
      <c r="C39" s="2" t="s">
        <v>11</v>
      </c>
      <c r="D39" s="2" t="s">
        <v>48</v>
      </c>
      <c r="E39" s="2">
        <v>10</v>
      </c>
      <c r="F39" s="2">
        <v>3900</v>
      </c>
      <c r="G39" s="2">
        <v>30</v>
      </c>
    </row>
    <row r="40" spans="1:9" x14ac:dyDescent="0.3">
      <c r="A40" s="1" t="s">
        <v>75</v>
      </c>
      <c r="B40" s="2" t="s">
        <v>40</v>
      </c>
      <c r="C40" s="2" t="s">
        <v>11</v>
      </c>
      <c r="D40" s="2" t="s">
        <v>12</v>
      </c>
      <c r="E40" s="2">
        <v>40</v>
      </c>
      <c r="F40" s="2">
        <v>950</v>
      </c>
      <c r="G40" s="2">
        <v>30</v>
      </c>
    </row>
    <row r="41" spans="1:9" x14ac:dyDescent="0.3">
      <c r="A41" s="1" t="s">
        <v>76</v>
      </c>
      <c r="B41" s="2" t="s">
        <v>15</v>
      </c>
      <c r="C41" s="2" t="s">
        <v>11</v>
      </c>
      <c r="D41" s="2" t="s">
        <v>48</v>
      </c>
      <c r="E41" s="2">
        <v>20</v>
      </c>
      <c r="F41" s="2">
        <v>3500</v>
      </c>
      <c r="G41" s="2">
        <v>40</v>
      </c>
      <c r="I41" s="2" t="s">
        <v>50</v>
      </c>
    </row>
    <row r="42" spans="1:9" x14ac:dyDescent="0.3">
      <c r="A42" s="1" t="s">
        <v>77</v>
      </c>
      <c r="B42" s="2" t="s">
        <v>43</v>
      </c>
      <c r="C42" s="2" t="s">
        <v>44</v>
      </c>
      <c r="D42" s="2" t="s">
        <v>48</v>
      </c>
      <c r="E42" s="2">
        <v>2000</v>
      </c>
      <c r="F42" s="2">
        <v>32</v>
      </c>
      <c r="G42" s="2">
        <v>0</v>
      </c>
    </row>
    <row r="43" spans="1:9" x14ac:dyDescent="0.3">
      <c r="A43" s="1" t="s">
        <v>78</v>
      </c>
      <c r="B43" s="2" t="s">
        <v>36</v>
      </c>
      <c r="C43" s="2" t="s">
        <v>11</v>
      </c>
      <c r="D43" s="2" t="s">
        <v>48</v>
      </c>
      <c r="E43" s="2">
        <v>30</v>
      </c>
      <c r="F43" s="2">
        <v>1720</v>
      </c>
      <c r="G43" s="2">
        <v>35</v>
      </c>
    </row>
    <row r="44" spans="1:9" x14ac:dyDescent="0.3">
      <c r="A44" s="1" t="s">
        <v>79</v>
      </c>
      <c r="B44" s="2" t="s">
        <v>10</v>
      </c>
      <c r="C44" s="2" t="s">
        <v>11</v>
      </c>
      <c r="D44" s="2" t="s">
        <v>48</v>
      </c>
      <c r="E44" s="2">
        <v>30</v>
      </c>
      <c r="F44" s="2">
        <v>1420</v>
      </c>
      <c r="G44" s="2">
        <v>30</v>
      </c>
      <c r="I44" s="2" t="s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22</vt:i4>
      </vt:variant>
    </vt:vector>
  </HeadingPairs>
  <TitlesOfParts>
    <vt:vector size="31" baseType="lpstr">
      <vt:lpstr>Home</vt:lpstr>
      <vt:lpstr>XRay</vt:lpstr>
      <vt:lpstr>CG_Summary</vt:lpstr>
      <vt:lpstr>Tradebook</vt:lpstr>
      <vt:lpstr>Prices</vt:lpstr>
      <vt:lpstr>CG_Lots</vt:lpstr>
      <vt:lpstr>Holdings</vt:lpstr>
      <vt:lpstr>Tax Rules</vt:lpstr>
      <vt:lpstr>Settings</vt:lpstr>
      <vt:lpstr>cg_FY</vt:lpstr>
      <vt:lpstr>st_AIMode</vt:lpstr>
      <vt:lpstr>st_AIModel</vt:lpstr>
      <vt:lpstr>st_APIKey</vt:lpstr>
      <vt:lpstr>st_ConcLimit</vt:lpstr>
      <vt:lpstr>st_PriceSource</vt:lpstr>
      <vt:lpstr>st_SectorLimit</vt:lpstr>
      <vt:lpstr>tr_Cess</vt:lpstr>
      <vt:lpstr>tr_Exemption</vt:lpstr>
      <vt:lpstr>tr_ExemptionOld</vt:lpstr>
      <vt:lpstr>tr_GFDate</vt:lpstr>
      <vt:lpstr>tr_LTCGNew</vt:lpstr>
      <vt:lpstr>tr_LTCGOld</vt:lpstr>
      <vt:lpstr>tr_LTCGOther</vt:lpstr>
      <vt:lpstr>tr_LTMonthsEquity</vt:lpstr>
      <vt:lpstr>tr_LTMonthsOther</vt:lpstr>
      <vt:lpstr>tr_RateChangeDate</vt:lpstr>
      <vt:lpstr>tr_SlabRate</vt:lpstr>
      <vt:lpstr>tr_SpecifiedMFDate</vt:lpstr>
      <vt:lpstr>tr_STCGNew</vt:lpstr>
      <vt:lpstr>tr_STCGOld</vt:lpstr>
      <vt:lpstr>xr_PortfolioXIRR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Ankit Jallan</dc:creator>
  <cp:lastModifiedBy>Ankit Jallan</cp:lastModifiedBy>
  <dcterms:created xsi:type="dcterms:W3CDTF">2026-10-21T07:44:12Z</dcterms:created>
  <dcterms:modified xsi:type="dcterms:W3CDTF">2026-10-21T07:44:30Z</dcterms:modified>
</cp:coreProperties>
</file>