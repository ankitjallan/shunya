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s\Workshops_Presentation\Rajkot_Excel_AI_241026\hidden-data\"/>
    </mc:Choice>
  </mc:AlternateContent>
  <xr:revisionPtr revIDLastSave="0" documentId="8_{7CCA50D5-9159-4865-B7CF-CB76816F06B3}" xr6:coauthVersionLast="47" xr6:coauthVersionMax="47" xr10:uidLastSave="{00000000-0000-0000-0000-000000000000}"/>
  <bookViews>
    <workbookView xWindow="-108" yWindow="-108" windowWidth="23256" windowHeight="12456" xr2:uid="{DC9CB3D2-E860-44DB-B2EB-F0F889636CC4}"/>
  </bookViews>
  <sheets>
    <sheet name="README" sheetId="1" r:id="rId1"/>
    <sheet name="Ledger" sheetId="2" r:id="rId2"/>
    <sheet name="Ageing" sheetId="3" r:id="rId3"/>
    <sheet name="Payroll" sheetId="4" r:id="rId4"/>
    <sheet name="Sales Register" sheetId="5" r:id="rId5"/>
    <sheet name="GST Reco" sheetId="6" r:id="rId6"/>
    <sheet name="_verify" sheetId="7" state="hidden" r:id="rId7"/>
    <sheet name="_old_TB" sheetId="8" state="veryHidden" r:id="rId8"/>
  </sheets>
  <definedNames>
    <definedName name="Commission_Rate" hidden="1">0.025</definedName>
    <definedName name="THE_REAL_TOTAL">Ageing!$BZ$2000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6" l="1"/>
  <c r="C15" i="6"/>
  <c r="B15" i="6"/>
  <c r="D14" i="6"/>
  <c r="D13" i="6"/>
  <c r="D12" i="6"/>
  <c r="D11" i="6"/>
  <c r="D9" i="6"/>
  <c r="D8" i="6"/>
  <c r="D7" i="6"/>
  <c r="D6" i="6"/>
  <c r="D5" i="6"/>
  <c r="G43" i="5"/>
  <c r="F43" i="5"/>
  <c r="E43" i="5"/>
  <c r="D43" i="5"/>
  <c r="F42" i="5"/>
  <c r="E42" i="5"/>
  <c r="G42" i="5" s="1"/>
  <c r="F41" i="5"/>
  <c r="E41" i="5"/>
  <c r="G41" i="5" s="1"/>
  <c r="F40" i="5"/>
  <c r="E40" i="5"/>
  <c r="G40" i="5" s="1"/>
  <c r="F39" i="5"/>
  <c r="E39" i="5"/>
  <c r="G39" i="5" s="1"/>
  <c r="F38" i="5"/>
  <c r="E38" i="5"/>
  <c r="G38" i="5" s="1"/>
  <c r="F37" i="5"/>
  <c r="E37" i="5"/>
  <c r="G37" i="5" s="1"/>
  <c r="F36" i="5"/>
  <c r="E36" i="5"/>
  <c r="G36" i="5" s="1"/>
  <c r="G35" i="5"/>
  <c r="F35" i="5"/>
  <c r="E35" i="5"/>
  <c r="F34" i="5"/>
  <c r="E34" i="5"/>
  <c r="G34" i="5" s="1"/>
  <c r="F33" i="5"/>
  <c r="E33" i="5"/>
  <c r="G33" i="5" s="1"/>
  <c r="F32" i="5"/>
  <c r="E32" i="5"/>
  <c r="G32" i="5" s="1"/>
  <c r="F31" i="5"/>
  <c r="E31" i="5"/>
  <c r="G31" i="5" s="1"/>
  <c r="G30" i="5"/>
  <c r="F30" i="5"/>
  <c r="E30" i="5"/>
  <c r="F29" i="5"/>
  <c r="E29" i="5"/>
  <c r="G29" i="5" s="1"/>
  <c r="F28" i="5"/>
  <c r="E28" i="5"/>
  <c r="G28" i="5" s="1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K16" i="4"/>
  <c r="K15" i="4"/>
  <c r="K14" i="4"/>
  <c r="K13" i="4"/>
  <c r="K12" i="4"/>
  <c r="K11" i="4"/>
  <c r="K10" i="4"/>
  <c r="K9" i="4"/>
  <c r="K8" i="4"/>
  <c r="K7" i="4"/>
  <c r="K6" i="4"/>
  <c r="K5" i="4"/>
  <c r="G23" i="3"/>
  <c r="F23" i="3"/>
  <c r="E23" i="3"/>
  <c r="D23" i="3"/>
  <c r="C23" i="3"/>
  <c r="B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Ankit Jallan</author>
  </authors>
  <commentList>
    <comment ref="C10" authorId="0" shapeId="0" xr:uid="{DEC6669C-C8BE-477B-9E51-9CD297708B0A}">
      <text>
        <r>
          <rPr>
            <b/>
            <sz val="9"/>
            <color indexed="81"/>
            <rFont val="Tahoma"/>
            <family val="2"/>
          </rPr>
          <t>Customer asked to bill this in his brother's firm name - to change after GST filing</t>
        </r>
      </text>
    </comment>
  </commentList>
</comments>
</file>

<file path=xl/sharedStrings.xml><?xml version="1.0" encoding="utf-8"?>
<sst xmlns="http://schemas.openxmlformats.org/spreadsheetml/2006/main" count="276" uniqueCount="237">
  <si>
    <t>Client file: Saurashtra Castings Pvt Ltd - year-end FY 2025-26</t>
  </si>
  <si>
    <t>Received from the client's accountant on WhatsApp, 2 April 2026. Fictional data for the Rajkot Excel x AI session.</t>
  </si>
  <si>
    <t>Three questions - 30 seconds each:</t>
  </si>
  <si>
    <t>1.  Ledger: does the creditors ledger agree with the books?</t>
  </si>
  <si>
    <t>2.  Ageing: what is the REAL debtors figure?</t>
  </si>
  <si>
    <t>3.  Payroll: is this file safe to paste into ChatGPT?</t>
  </si>
  <si>
    <t>Everything you need is in this file. You just cannot see it yet.</t>
  </si>
  <si>
    <t>Creditors Ledger - 31-Mar-2026</t>
  </si>
  <si>
    <t>Closing balances as per the ledger extract</t>
  </si>
  <si>
    <t>Vendor</t>
  </si>
  <si>
    <t>Opening</t>
  </si>
  <si>
    <t>Purchases</t>
  </si>
  <si>
    <t>Payments</t>
  </si>
  <si>
    <t>Closing</t>
  </si>
  <si>
    <t>Gujarat Pig Iron Traders</t>
  </si>
  <si>
    <t>Saurashtra Sand &amp; Minerals</t>
  </si>
  <si>
    <t>Rajkot Foundry Supplies</t>
  </si>
  <si>
    <t>Morbi Ceramic Moulds</t>
  </si>
  <si>
    <t>Jamnagar Brass Scrap Co</t>
  </si>
  <si>
    <t>Shree Umiya Coke Depot</t>
  </si>
  <si>
    <t>Patel Electricals</t>
  </si>
  <si>
    <t>Kathiyawad Logistics</t>
  </si>
  <si>
    <t>Gondal Tools &amp; Hardware</t>
  </si>
  <si>
    <t>Bhavani Alloys</t>
  </si>
  <si>
    <t>Jalaram Packaging</t>
  </si>
  <si>
    <t>Sorath Lubricants</t>
  </si>
  <si>
    <t>Navkar Steel Rolling</t>
  </si>
  <si>
    <t>Om Sai Transport</t>
  </si>
  <si>
    <t>Ambica Engineering Spares</t>
  </si>
  <si>
    <t>TOTAL as per ledger</t>
  </si>
  <si>
    <t>JV-118 dt 31-Mar-26: Rs 4,85,000 reversed from Kathiyawad Logistics after audit query - NOT approved by director</t>
  </si>
  <si>
    <t>Debtors Ageing - 31-Mar-2026</t>
  </si>
  <si>
    <t>As per the sales ledger</t>
  </si>
  <si>
    <t>Customer</t>
  </si>
  <si>
    <t>0-30</t>
  </si>
  <si>
    <t>31-60</t>
  </si>
  <si>
    <t>61-90</t>
  </si>
  <si>
    <t>91-180</t>
  </si>
  <si>
    <t>&gt; 180</t>
  </si>
  <si>
    <t>Total</t>
  </si>
  <si>
    <t>Provision</t>
  </si>
  <si>
    <t>Rajkot Engineering Works</t>
  </si>
  <si>
    <t>Shree Ganesh Pumps</t>
  </si>
  <si>
    <t>Kirloskar Dealers Rajkot</t>
  </si>
  <si>
    <t>Morbi Castings LLP</t>
  </si>
  <si>
    <t>Gujarat Auto Components</t>
  </si>
  <si>
    <t>Jay Ambe Valves</t>
  </si>
  <si>
    <t>Saurashtra Gears</t>
  </si>
  <si>
    <t>Bhavnagar Shipbreakers</t>
  </si>
  <si>
    <t>Patel Motors</t>
  </si>
  <si>
    <t>Gondal Agro Machines</t>
  </si>
  <si>
    <t>Umiya Diesel Engines</t>
  </si>
  <si>
    <t>Jetpur Textile Mills</t>
  </si>
  <si>
    <t>Navkar Fasteners</t>
  </si>
  <si>
    <t>Radhe Tractors</t>
  </si>
  <si>
    <t>Sardar Hydraulics</t>
  </si>
  <si>
    <t>Krishna Bearings</t>
  </si>
  <si>
    <t>Mahavir Pipes</t>
  </si>
  <si>
    <t>Sorath Industries</t>
  </si>
  <si>
    <t>TOTAL</t>
  </si>
  <si>
    <t>Real total incl. Kathiyawad Traders (disputed Rs 25,75,000, kept off the ageing)</t>
  </si>
  <si>
    <t>Payroll - March 2026</t>
  </si>
  <si>
    <t>For TDS on salary (24Q Q4) working</t>
  </si>
  <si>
    <t>Emp Code</t>
  </si>
  <si>
    <t>Name</t>
  </si>
  <si>
    <t>Designation</t>
  </si>
  <si>
    <t>Gross</t>
  </si>
  <si>
    <t>PF</t>
  </si>
  <si>
    <t>PAN</t>
  </si>
  <si>
    <t>Aadhaar</t>
  </si>
  <si>
    <t>Bank A/c</t>
  </si>
  <si>
    <t>DOB</t>
  </si>
  <si>
    <t>Medical notes</t>
  </si>
  <si>
    <t>Net Pay</t>
  </si>
  <si>
    <t>Mobile</t>
  </si>
  <si>
    <t>E101</t>
  </si>
  <si>
    <t>Rameshbhai Vaghela</t>
  </si>
  <si>
    <t>Foundry Supervisor</t>
  </si>
  <si>
    <t>RMMPV3948F</t>
  </si>
  <si>
    <t>9699 4718 0662</t>
  </si>
  <si>
    <t>50203548817110</t>
  </si>
  <si>
    <t>Diabetic - insulin</t>
  </si>
  <si>
    <t>7958138940</t>
  </si>
  <si>
    <t>E102</t>
  </si>
  <si>
    <t>Hiral Joshi</t>
  </si>
  <si>
    <t>Accountant</t>
  </si>
  <si>
    <t>FVUPJ3922Q</t>
  </si>
  <si>
    <t>7979 7155 9482</t>
  </si>
  <si>
    <t>50201613430275</t>
  </si>
  <si>
    <t>6938171611</t>
  </si>
  <si>
    <t>E103</t>
  </si>
  <si>
    <t>Mehul Parmar</t>
  </si>
  <si>
    <t>Machine Operator</t>
  </si>
  <si>
    <t>MREPP5208I</t>
  </si>
  <si>
    <t>7448 0086 3874</t>
  </si>
  <si>
    <t>50208984291330</t>
  </si>
  <si>
    <t>Back surgery 2024</t>
  </si>
  <si>
    <t>7583870446</t>
  </si>
  <si>
    <t>E104</t>
  </si>
  <si>
    <t>Kinjal Desai</t>
  </si>
  <si>
    <t>HR Executive</t>
  </si>
  <si>
    <t>WGBPD2815A</t>
  </si>
  <si>
    <t>8687 1983 6060</t>
  </si>
  <si>
    <t>50207582460862</t>
  </si>
  <si>
    <t>8449000529</t>
  </si>
  <si>
    <t>E105</t>
  </si>
  <si>
    <t>Bhavesh Koli</t>
  </si>
  <si>
    <t>Moulder</t>
  </si>
  <si>
    <t>XOYPK4451L</t>
  </si>
  <si>
    <t>8367 4442 8349</t>
  </si>
  <si>
    <t>50209091540228</t>
  </si>
  <si>
    <t>Asthma</t>
  </si>
  <si>
    <t>6266753757</t>
  </si>
  <si>
    <t>E106</t>
  </si>
  <si>
    <t>Dipti Rathod</t>
  </si>
  <si>
    <t>Store Keeper</t>
  </si>
  <si>
    <t>EXMPR1985T</t>
  </si>
  <si>
    <t>3561 0164 2361</t>
  </si>
  <si>
    <t>50206261570285</t>
  </si>
  <si>
    <t>9549548596</t>
  </si>
  <si>
    <t>E107</t>
  </si>
  <si>
    <t>Nilesh Makwana</t>
  </si>
  <si>
    <t>Furnace Operator</t>
  </si>
  <si>
    <t>ATPPM6137C</t>
  </si>
  <si>
    <t>8374 2985 9297</t>
  </si>
  <si>
    <t>50201935714787</t>
  </si>
  <si>
    <t>BP medication</t>
  </si>
  <si>
    <t>8827610528</t>
  </si>
  <si>
    <t>E108</t>
  </si>
  <si>
    <t>Ketan Solanki</t>
  </si>
  <si>
    <t>Quality Inspector</t>
  </si>
  <si>
    <t>TNAPS5856R</t>
  </si>
  <si>
    <t>5091 7491 0288</t>
  </si>
  <si>
    <t>50209905101123</t>
  </si>
  <si>
    <t>8964406473</t>
  </si>
  <si>
    <t>E109</t>
  </si>
  <si>
    <t>Paresh Chauhan</t>
  </si>
  <si>
    <t>Driver</t>
  </si>
  <si>
    <t>MQCPC3931G</t>
  </si>
  <si>
    <t>6174 3332 8898</t>
  </si>
  <si>
    <t>50204703346297</t>
  </si>
  <si>
    <t>6534738194</t>
  </si>
  <si>
    <t>E110</t>
  </si>
  <si>
    <t>Pooja Trivedi</t>
  </si>
  <si>
    <t>Front Office</t>
  </si>
  <si>
    <t>WNPPT4920J</t>
  </si>
  <si>
    <t>2808 1896 8231</t>
  </si>
  <si>
    <t>50207346880760</t>
  </si>
  <si>
    <t>Pregnancy leave from May</t>
  </si>
  <si>
    <t>6294502510</t>
  </si>
  <si>
    <t>E111</t>
  </si>
  <si>
    <t>Vipul Bhatt</t>
  </si>
  <si>
    <t>Maintenance Fitter</t>
  </si>
  <si>
    <t>YGKPB2633T</t>
  </si>
  <si>
    <t>9669 3953 0242</t>
  </si>
  <si>
    <t>50204835080663</t>
  </si>
  <si>
    <t>8986589245</t>
  </si>
  <si>
    <t>E112</t>
  </si>
  <si>
    <t>Chirag Dodiya</t>
  </si>
  <si>
    <t>Helper</t>
  </si>
  <si>
    <t>WXHPD5542W</t>
  </si>
  <si>
    <t>3330 4848 0322</t>
  </si>
  <si>
    <t>50207188148557</t>
  </si>
  <si>
    <t>Hearing aid</t>
  </si>
  <si>
    <t>8495818615</t>
  </si>
  <si>
    <t>Sales Register - Q4 FY 2025-26</t>
  </si>
  <si>
    <t>Total uses SUBTOTAL, so hidden rows quietly drop out</t>
  </si>
  <si>
    <t>Doc No</t>
  </si>
  <si>
    <t>Date</t>
  </si>
  <si>
    <t>Taxable</t>
  </si>
  <si>
    <t>CGST</t>
  </si>
  <si>
    <t>SGST</t>
  </si>
  <si>
    <t>SC/25-26/801</t>
  </si>
  <si>
    <t>SC/25-26/802</t>
  </si>
  <si>
    <t>SC/25-26/803</t>
  </si>
  <si>
    <t>SC/25-26/804</t>
  </si>
  <si>
    <t>SC/25-26/805</t>
  </si>
  <si>
    <t>SC/25-26/806</t>
  </si>
  <si>
    <t>SC/25-26/807</t>
  </si>
  <si>
    <t>SC/25-26/808</t>
  </si>
  <si>
    <t>SC/25-26/809</t>
  </si>
  <si>
    <t>SC/25-26/810</t>
  </si>
  <si>
    <t>SC/25-26/811</t>
  </si>
  <si>
    <t>SC/25-26/812</t>
  </si>
  <si>
    <t>SC/25-26/813</t>
  </si>
  <si>
    <t>SC/25-26/814</t>
  </si>
  <si>
    <t>SC/25-26/815</t>
  </si>
  <si>
    <t>SC/25-26/816</t>
  </si>
  <si>
    <t>SC/25-26/817</t>
  </si>
  <si>
    <t>SC/25-26/818</t>
  </si>
  <si>
    <t>SC/25-26/819</t>
  </si>
  <si>
    <t>SC/25-26/820</t>
  </si>
  <si>
    <t>SC/25-26/821</t>
  </si>
  <si>
    <t>SC/25-26/822</t>
  </si>
  <si>
    <t>CN/25-26/062</t>
  </si>
  <si>
    <t>CN/25-26/063</t>
  </si>
  <si>
    <t>CN/25-26/064</t>
  </si>
  <si>
    <t>CN/25-26/065</t>
  </si>
  <si>
    <t>CN/25-26/066</t>
  </si>
  <si>
    <t>CN/25-26/067</t>
  </si>
  <si>
    <t>CN/25-26/068</t>
  </si>
  <si>
    <t>CN/25-26/069</t>
  </si>
  <si>
    <t>CN/25-26/070</t>
  </si>
  <si>
    <t>CN/25-26/071</t>
  </si>
  <si>
    <t>CN/25-26/072</t>
  </si>
  <si>
    <t>CN/25-26/073</t>
  </si>
  <si>
    <t>CN/25-26/074</t>
  </si>
  <si>
    <t>CN/25-26/075</t>
  </si>
  <si>
    <t>CN/25-26/076</t>
  </si>
  <si>
    <t>TOTAL (SUBTOTAL - visible rows)</t>
  </si>
  <si>
    <t>GSTR-2B vs Books - FY 2025-26</t>
  </si>
  <si>
    <t>ITC as per books vs GSTR-2B</t>
  </si>
  <si>
    <t>Particulars</t>
  </si>
  <si>
    <t>As per books</t>
  </si>
  <si>
    <t>As per 2B</t>
  </si>
  <si>
    <t>Difference</t>
  </si>
  <si>
    <t>Raw material - pig iron, scrap</t>
  </si>
  <si>
    <t>Consumables</t>
  </si>
  <si>
    <t>Freight (RCM)</t>
  </si>
  <si>
    <t>Capital goods - CNC machine</t>
  </si>
  <si>
    <t>Professional fees</t>
  </si>
  <si>
    <t>Blocked credits u/s 17(5) - claimed in books</t>
  </si>
  <si>
    <t xml:space="preserve">    Motor car used by director</t>
  </si>
  <si>
    <t xml:space="preserve">    Food &amp; beverages - Diwali party</t>
  </si>
  <si>
    <t xml:space="preserve">    Club membership</t>
  </si>
  <si>
    <t xml:space="preserve">    Health insurance - staff family</t>
  </si>
  <si>
    <t>TOTAL ITC</t>
  </si>
  <si>
    <t>ITC of Rs 1,68,000 on director's car claimed in GSTR-3B for March</t>
  </si>
  <si>
    <t>Ledger vs Books - reconciliation (internal)</t>
  </si>
  <si>
    <t>Prepared by accounts team</t>
  </si>
  <si>
    <t>Creditors as per ledger extract</t>
  </si>
  <si>
    <t>Add: JV-118 reversed on 31-Mar-26 (Kathiyawad Logistics)</t>
  </si>
  <si>
    <t>Creditors as per books (trial balance)</t>
  </si>
  <si>
    <t>Trial balance - version given to the bank</t>
  </si>
  <si>
    <t>Stock shown at Rs 4.2 Cr (books: Rs 2.9 Cr)</t>
  </si>
  <si>
    <t>Closing stock</t>
  </si>
  <si>
    <t>Sundry debtors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</si>
</sst>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rgb="FF1F4E79"/>
      <name val="Calibri"/>
      <family val="2"/>
    </font>
    <font>
      <i/>
      <sz val="11"/>
      <color rgb="FF595959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C00000"/>
      <name val="Calibri"/>
      <family val="2"/>
    </font>
    <font>
      <b/>
      <sz val="15"/>
      <color rgb="FF1F4E79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9"/>
      <color indexed="81"/>
      <name val="Tahoma"/>
      <family val="2"/>
    </font>
    <font>
      <sz val="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8" fillId="3" borderId="0" xfId="0" applyFont="1" applyFill="1"/>
    <xf numFmtId="3" fontId="1" fillId="0" borderId="0" xfId="0" applyNumberFormat="1" applyFont="1"/>
    <xf numFmtId="3" fontId="8" fillId="3" borderId="0" xfId="0" applyNumberFormat="1" applyFont="1" applyFill="1"/>
    <xf numFmtId="0" fontId="10" fillId="0" borderId="0" xfId="0" applyFont="1"/>
    <xf numFmtId="164" fontId="1" fillId="0" borderId="0" xfId="0" applyNumberFormat="1" applyFont="1"/>
    <xf numFmtId="49" fontId="1" fillId="0" borderId="0" xfId="0" applyNumberFormat="1" applyFont="1"/>
    <xf numFmtId="15" fontId="1" fillId="0" borderId="0" xfId="0" applyNumberFormat="1" applyFont="1"/>
    <xf numFmtId="38" fontId="1" fillId="0" borderId="0" xfId="0" applyNumberFormat="1" applyFont="1"/>
    <xf numFmtId="38" fontId="8" fillId="3" borderId="0" xfId="0" applyNumberFormat="1" applyFont="1" applyFill="1"/>
    <xf numFmtId="0" fontId="12" fillId="0" borderId="0" xfId="0" applyFon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1</xdr:row>
      <xdr:rowOff>129540</xdr:rowOff>
    </xdr:from>
    <xdr:to>
      <xdr:col>9</xdr:col>
      <xdr:colOff>520700</xdr:colOff>
      <xdr:row>4</xdr:row>
      <xdr:rowOff>88900</xdr:rowOff>
    </xdr:to>
    <xdr:sp macro="" textlink="">
      <xdr:nvSpPr>
        <xdr:cNvPr id="2" name="DraftStamp" hidden="1">
          <a:extLst>
            <a:ext uri="{FF2B5EF4-FFF2-40B4-BE49-F238E27FC236}">
              <a16:creationId xmlns:a16="http://schemas.microsoft.com/office/drawing/2014/main" id="{E585DA0D-A0F7-4C00-53DF-AE57F3611E82}"/>
            </a:ext>
          </a:extLst>
        </xdr:cNvPr>
        <xdr:cNvSpPr txBox="1"/>
      </xdr:nvSpPr>
      <xdr:spPr>
        <a:xfrm>
          <a:off x="6604000" y="381000"/>
          <a:ext cx="27940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DRAFT - NOT FOR BANK. Figures to be finalised after stock adjustment.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0E23-E134-4133-BF4E-B5D54680FFCA}">
  <dimension ref="B2:B11"/>
  <sheetViews>
    <sheetView tabSelected="1" workbookViewId="0"/>
  </sheetViews>
  <sheetFormatPr defaultRowHeight="14.4" x14ac:dyDescent="0.3"/>
  <cols>
    <col min="1" max="1" width="4.77734375" style="1" customWidth="1"/>
    <col min="2" max="2" width="110.77734375" style="1" customWidth="1"/>
    <col min="3" max="16384" width="8.88671875" style="1"/>
  </cols>
  <sheetData>
    <row r="2" spans="2:2" ht="23.4" x14ac:dyDescent="0.45">
      <c r="B2" s="2" t="s">
        <v>0</v>
      </c>
    </row>
    <row r="3" spans="2:2" x14ac:dyDescent="0.3">
      <c r="B3" s="3" t="s">
        <v>1</v>
      </c>
    </row>
    <row r="6" spans="2:2" ht="18" x14ac:dyDescent="0.35">
      <c r="B6" s="5" t="s">
        <v>2</v>
      </c>
    </row>
    <row r="7" spans="2:2" ht="18" x14ac:dyDescent="0.35">
      <c r="B7" s="4" t="s">
        <v>3</v>
      </c>
    </row>
    <row r="8" spans="2:2" ht="18" x14ac:dyDescent="0.35">
      <c r="B8" s="4" t="s">
        <v>4</v>
      </c>
    </row>
    <row r="9" spans="2:2" ht="18" x14ac:dyDescent="0.35">
      <c r="B9" s="4" t="s">
        <v>5</v>
      </c>
    </row>
    <row r="10" spans="2:2" ht="18" x14ac:dyDescent="0.35">
      <c r="B10" s="4"/>
    </row>
    <row r="11" spans="2:2" ht="18" x14ac:dyDescent="0.35">
      <c r="B11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BBA1-7AB5-48BF-8C7B-822045AC964D}">
  <dimension ref="A1:G20"/>
  <sheetViews>
    <sheetView workbookViewId="0"/>
  </sheetViews>
  <sheetFormatPr defaultRowHeight="14.4" x14ac:dyDescent="0.3"/>
  <cols>
    <col min="1" max="1" width="34.77734375" style="1" customWidth="1"/>
    <col min="2" max="5" width="14.77734375" style="1" customWidth="1"/>
    <col min="6" max="16384" width="8.88671875" style="1"/>
  </cols>
  <sheetData>
    <row r="1" spans="1:7" ht="19.8" x14ac:dyDescent="0.4">
      <c r="A1" s="7" t="s">
        <v>7</v>
      </c>
    </row>
    <row r="2" spans="1:7" x14ac:dyDescent="0.3">
      <c r="A2" s="3" t="s">
        <v>8</v>
      </c>
    </row>
    <row r="4" spans="1:7" x14ac:dyDescent="0.3">
      <c r="A4" s="9" t="s">
        <v>9</v>
      </c>
      <c r="B4" s="9" t="s">
        <v>10</v>
      </c>
      <c r="C4" s="9" t="s">
        <v>11</v>
      </c>
      <c r="D4" s="9" t="s">
        <v>12</v>
      </c>
      <c r="E4" s="9" t="s">
        <v>13</v>
      </c>
    </row>
    <row r="5" spans="1:7" x14ac:dyDescent="0.3">
      <c r="A5" s="1" t="s">
        <v>14</v>
      </c>
      <c r="B5" s="11">
        <v>712000</v>
      </c>
      <c r="C5" s="11">
        <v>3368000</v>
      </c>
      <c r="D5" s="11">
        <v>3370000</v>
      </c>
      <c r="E5" s="11">
        <f>B5+C5-D5</f>
        <v>710000</v>
      </c>
    </row>
    <row r="6" spans="1:7" x14ac:dyDescent="0.3">
      <c r="A6" s="1" t="s">
        <v>15</v>
      </c>
      <c r="B6" s="11">
        <v>863000</v>
      </c>
      <c r="C6" s="11">
        <v>1359000</v>
      </c>
      <c r="D6" s="11">
        <v>1216000</v>
      </c>
      <c r="E6" s="11">
        <f>B6+C6-D6</f>
        <v>1006000</v>
      </c>
      <c r="G6" s="13" t="s">
        <v>30</v>
      </c>
    </row>
    <row r="7" spans="1:7" x14ac:dyDescent="0.3">
      <c r="A7" s="1" t="s">
        <v>16</v>
      </c>
      <c r="B7" s="11">
        <v>672000</v>
      </c>
      <c r="C7" s="11">
        <v>2004000</v>
      </c>
      <c r="D7" s="11">
        <v>2094000</v>
      </c>
      <c r="E7" s="11">
        <f>B7+C7-D7</f>
        <v>582000</v>
      </c>
    </row>
    <row r="8" spans="1:7" x14ac:dyDescent="0.3">
      <c r="A8" s="1" t="s">
        <v>17</v>
      </c>
      <c r="B8" s="11">
        <v>870000</v>
      </c>
      <c r="C8" s="11">
        <v>2937000</v>
      </c>
      <c r="D8" s="11">
        <v>2642000</v>
      </c>
      <c r="E8" s="11">
        <f>B8+C8-D8</f>
        <v>1165000</v>
      </c>
    </row>
    <row r="9" spans="1:7" x14ac:dyDescent="0.3">
      <c r="A9" s="1" t="s">
        <v>18</v>
      </c>
      <c r="B9" s="11">
        <v>399000</v>
      </c>
      <c r="C9" s="11">
        <v>1354000</v>
      </c>
      <c r="D9" s="11">
        <v>1093000</v>
      </c>
      <c r="E9" s="11">
        <f>B9+C9-D9</f>
        <v>660000</v>
      </c>
    </row>
    <row r="10" spans="1:7" x14ac:dyDescent="0.3">
      <c r="A10" s="1" t="s">
        <v>19</v>
      </c>
      <c r="B10" s="11">
        <v>183000</v>
      </c>
      <c r="C10" s="11">
        <v>3283000</v>
      </c>
      <c r="D10" s="11">
        <v>3346000</v>
      </c>
      <c r="E10" s="11">
        <f>B10+C10-D10</f>
        <v>120000</v>
      </c>
    </row>
    <row r="11" spans="1:7" x14ac:dyDescent="0.3">
      <c r="A11" s="1" t="s">
        <v>20</v>
      </c>
      <c r="B11" s="11">
        <v>831000</v>
      </c>
      <c r="C11" s="11">
        <v>1935000</v>
      </c>
      <c r="D11" s="11">
        <v>2070000</v>
      </c>
      <c r="E11" s="11">
        <f>B11+C11-D11</f>
        <v>696000</v>
      </c>
    </row>
    <row r="12" spans="1:7" x14ac:dyDescent="0.3">
      <c r="A12" s="1" t="s">
        <v>21</v>
      </c>
      <c r="B12" s="11">
        <v>169000</v>
      </c>
      <c r="C12" s="11">
        <v>1381000</v>
      </c>
      <c r="D12" s="11">
        <v>1101000</v>
      </c>
      <c r="E12" s="11">
        <f>B12+C12-D12</f>
        <v>449000</v>
      </c>
    </row>
    <row r="13" spans="1:7" x14ac:dyDescent="0.3">
      <c r="A13" s="1" t="s">
        <v>22</v>
      </c>
      <c r="B13" s="11">
        <v>812000</v>
      </c>
      <c r="C13" s="11">
        <v>2292000</v>
      </c>
      <c r="D13" s="11">
        <v>2007000</v>
      </c>
      <c r="E13" s="11">
        <f>B13+C13-D13</f>
        <v>1097000</v>
      </c>
    </row>
    <row r="14" spans="1:7" x14ac:dyDescent="0.3">
      <c r="A14" s="1" t="s">
        <v>23</v>
      </c>
      <c r="B14" s="11">
        <v>853000</v>
      </c>
      <c r="C14" s="11">
        <v>1160000</v>
      </c>
      <c r="D14" s="11">
        <v>862000</v>
      </c>
      <c r="E14" s="11">
        <f>B14+C14-D14</f>
        <v>1151000</v>
      </c>
    </row>
    <row r="15" spans="1:7" x14ac:dyDescent="0.3">
      <c r="A15" s="1" t="s">
        <v>24</v>
      </c>
      <c r="B15" s="11">
        <v>822000</v>
      </c>
      <c r="C15" s="11">
        <v>1291000</v>
      </c>
      <c r="D15" s="11">
        <v>1254000</v>
      </c>
      <c r="E15" s="11">
        <f>B15+C15-D15</f>
        <v>859000</v>
      </c>
    </row>
    <row r="16" spans="1:7" x14ac:dyDescent="0.3">
      <c r="A16" s="1" t="s">
        <v>25</v>
      </c>
      <c r="B16" s="11">
        <v>415000</v>
      </c>
      <c r="C16" s="11">
        <v>989000</v>
      </c>
      <c r="D16" s="11">
        <v>1046000</v>
      </c>
      <c r="E16" s="11">
        <f>B16+C16-D16</f>
        <v>358000</v>
      </c>
    </row>
    <row r="17" spans="1:5" x14ac:dyDescent="0.3">
      <c r="A17" s="1" t="s">
        <v>26</v>
      </c>
      <c r="B17" s="11">
        <v>368000</v>
      </c>
      <c r="C17" s="11">
        <v>2879000</v>
      </c>
      <c r="D17" s="11">
        <v>3002000</v>
      </c>
      <c r="E17" s="11">
        <f>B17+C17-D17</f>
        <v>245000</v>
      </c>
    </row>
    <row r="18" spans="1:5" x14ac:dyDescent="0.3">
      <c r="A18" s="1" t="s">
        <v>27</v>
      </c>
      <c r="B18" s="11">
        <v>377000</v>
      </c>
      <c r="C18" s="11">
        <v>2457000</v>
      </c>
      <c r="D18" s="11">
        <v>2485000</v>
      </c>
      <c r="E18" s="11">
        <f>B18+C18-D18</f>
        <v>349000</v>
      </c>
    </row>
    <row r="19" spans="1:5" x14ac:dyDescent="0.3">
      <c r="A19" s="1" t="s">
        <v>28</v>
      </c>
      <c r="B19" s="11">
        <v>893000</v>
      </c>
      <c r="C19" s="11">
        <v>3496000</v>
      </c>
      <c r="D19" s="11">
        <v>3401000</v>
      </c>
      <c r="E19" s="11">
        <f>B19+C19-D19</f>
        <v>988000</v>
      </c>
    </row>
    <row r="20" spans="1:5" x14ac:dyDescent="0.3">
      <c r="A20" s="10" t="s">
        <v>29</v>
      </c>
      <c r="B20" s="12"/>
      <c r="C20" s="12"/>
      <c r="D20" s="12"/>
      <c r="E20" s="12">
        <f>SUM(E5:E19)</f>
        <v>10435000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8DC3-FFCD-4113-BDF2-708C53CE7E06}">
  <dimension ref="A1:BZ2000"/>
  <sheetViews>
    <sheetView workbookViewId="0"/>
  </sheetViews>
  <sheetFormatPr defaultRowHeight="14.4" x14ac:dyDescent="0.3"/>
  <cols>
    <col min="1" max="1" width="32.77734375" style="1" customWidth="1"/>
    <col min="2" max="6" width="12.77734375" style="1" customWidth="1"/>
    <col min="7" max="7" width="14.77734375" style="1" customWidth="1"/>
    <col min="8" max="8" width="12.77734375" style="1" customWidth="1"/>
    <col min="9" max="77" width="8.88671875" style="1"/>
    <col min="78" max="78" width="10.33203125" style="1" bestFit="1" customWidth="1"/>
    <col min="79" max="16384" width="8.88671875" style="1"/>
  </cols>
  <sheetData>
    <row r="1" spans="1:8" ht="19.8" x14ac:dyDescent="0.4">
      <c r="A1" s="7" t="s">
        <v>31</v>
      </c>
    </row>
    <row r="2" spans="1:8" x14ac:dyDescent="0.3">
      <c r="A2" s="3" t="s">
        <v>32</v>
      </c>
    </row>
    <row r="4" spans="1:8" x14ac:dyDescent="0.3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</row>
    <row r="5" spans="1:8" x14ac:dyDescent="0.3">
      <c r="A5" s="1" t="s">
        <v>41</v>
      </c>
      <c r="B5" s="11">
        <v>0</v>
      </c>
      <c r="C5" s="11">
        <v>0</v>
      </c>
      <c r="D5" s="11">
        <v>0</v>
      </c>
      <c r="E5" s="11">
        <v>220000</v>
      </c>
      <c r="F5" s="11">
        <v>370000</v>
      </c>
      <c r="G5" s="11">
        <f>SUM(B5:F5)</f>
        <v>590000</v>
      </c>
      <c r="H5" s="14">
        <v>185000</v>
      </c>
    </row>
    <row r="6" spans="1:8" x14ac:dyDescent="0.3">
      <c r="A6" s="1" t="s">
        <v>42</v>
      </c>
      <c r="B6" s="11">
        <v>60000</v>
      </c>
      <c r="C6" s="11">
        <v>510000</v>
      </c>
      <c r="D6" s="11">
        <v>0</v>
      </c>
      <c r="E6" s="11">
        <v>120000</v>
      </c>
      <c r="F6" s="11">
        <v>370000</v>
      </c>
      <c r="G6" s="11">
        <f>SUM(B6:F6)</f>
        <v>1060000</v>
      </c>
      <c r="H6" s="14">
        <v>185000</v>
      </c>
    </row>
    <row r="7" spans="1:8" x14ac:dyDescent="0.3">
      <c r="A7" s="1" t="s">
        <v>43</v>
      </c>
      <c r="B7" s="11">
        <v>290000</v>
      </c>
      <c r="C7" s="11">
        <v>290000</v>
      </c>
      <c r="D7" s="11">
        <v>30000</v>
      </c>
      <c r="E7" s="11">
        <v>0</v>
      </c>
      <c r="F7" s="11">
        <v>320000</v>
      </c>
      <c r="G7" s="11">
        <f>SUM(B7:F7)</f>
        <v>930000</v>
      </c>
      <c r="H7" s="14">
        <v>160000</v>
      </c>
    </row>
    <row r="8" spans="1:8" x14ac:dyDescent="0.3">
      <c r="A8" s="1" t="s">
        <v>44</v>
      </c>
      <c r="B8" s="11">
        <v>310000</v>
      </c>
      <c r="C8" s="11">
        <v>400000</v>
      </c>
      <c r="D8" s="11">
        <v>0</v>
      </c>
      <c r="E8" s="11">
        <v>0</v>
      </c>
      <c r="F8" s="11">
        <v>0</v>
      </c>
      <c r="G8" s="11">
        <f>SUM(B8:F8)</f>
        <v>710000</v>
      </c>
      <c r="H8" s="14">
        <v>0</v>
      </c>
    </row>
    <row r="9" spans="1:8" x14ac:dyDescent="0.3">
      <c r="A9" s="1" t="s">
        <v>45</v>
      </c>
      <c r="B9" s="11">
        <v>190000</v>
      </c>
      <c r="C9" s="11">
        <v>210000</v>
      </c>
      <c r="D9" s="11">
        <v>580000</v>
      </c>
      <c r="E9" s="11">
        <v>0</v>
      </c>
      <c r="F9" s="11">
        <v>330000</v>
      </c>
      <c r="G9" s="11">
        <f>SUM(B9:F9)</f>
        <v>1310000</v>
      </c>
      <c r="H9" s="14">
        <v>165000</v>
      </c>
    </row>
    <row r="10" spans="1:8" x14ac:dyDescent="0.3">
      <c r="A10" s="1" t="s">
        <v>46</v>
      </c>
      <c r="B10" s="11">
        <v>390000</v>
      </c>
      <c r="C10" s="11">
        <v>0</v>
      </c>
      <c r="D10" s="11">
        <v>0</v>
      </c>
      <c r="E10" s="11">
        <v>190000</v>
      </c>
      <c r="F10" s="11">
        <v>440000</v>
      </c>
      <c r="G10" s="11">
        <f>SUM(B10:F10)</f>
        <v>1020000</v>
      </c>
      <c r="H10" s="14">
        <v>220000</v>
      </c>
    </row>
    <row r="11" spans="1:8" x14ac:dyDescent="0.3">
      <c r="A11" s="1" t="s">
        <v>47</v>
      </c>
      <c r="B11" s="11">
        <v>380000</v>
      </c>
      <c r="C11" s="11">
        <v>0</v>
      </c>
      <c r="D11" s="11">
        <v>0</v>
      </c>
      <c r="E11" s="11">
        <v>60000</v>
      </c>
      <c r="F11" s="11">
        <v>380000</v>
      </c>
      <c r="G11" s="11">
        <f>SUM(B11:F11)</f>
        <v>820000</v>
      </c>
      <c r="H11" s="14">
        <v>190000</v>
      </c>
    </row>
    <row r="12" spans="1:8" x14ac:dyDescent="0.3">
      <c r="A12" s="1" t="s">
        <v>48</v>
      </c>
      <c r="B12" s="11">
        <v>0</v>
      </c>
      <c r="C12" s="11">
        <v>380000</v>
      </c>
      <c r="D12" s="11">
        <v>10000</v>
      </c>
      <c r="E12" s="11">
        <v>120000</v>
      </c>
      <c r="F12" s="11">
        <v>230000</v>
      </c>
      <c r="G12" s="11">
        <f>SUM(B12:F12)</f>
        <v>740000</v>
      </c>
      <c r="H12" s="14">
        <v>115000</v>
      </c>
    </row>
    <row r="13" spans="1:8" x14ac:dyDescent="0.3">
      <c r="A13" s="1" t="s">
        <v>49</v>
      </c>
      <c r="B13" s="11">
        <v>590000</v>
      </c>
      <c r="C13" s="11">
        <v>0</v>
      </c>
      <c r="D13" s="11">
        <v>550000</v>
      </c>
      <c r="E13" s="11">
        <v>290000</v>
      </c>
      <c r="F13" s="11">
        <v>150000</v>
      </c>
      <c r="G13" s="11">
        <f>SUM(B13:F13)</f>
        <v>1580000</v>
      </c>
      <c r="H13" s="14">
        <v>75000</v>
      </c>
    </row>
    <row r="14" spans="1:8" x14ac:dyDescent="0.3">
      <c r="A14" s="1" t="s">
        <v>50</v>
      </c>
      <c r="B14" s="11">
        <v>190000</v>
      </c>
      <c r="C14" s="11">
        <v>580000</v>
      </c>
      <c r="D14" s="11">
        <v>350000</v>
      </c>
      <c r="E14" s="11">
        <v>30000</v>
      </c>
      <c r="F14" s="11">
        <v>310000</v>
      </c>
      <c r="G14" s="11">
        <f>SUM(B14:F14)</f>
        <v>1460000</v>
      </c>
      <c r="H14" s="14">
        <v>155000</v>
      </c>
    </row>
    <row r="15" spans="1:8" x14ac:dyDescent="0.3">
      <c r="A15" s="1" t="s">
        <v>51</v>
      </c>
      <c r="B15" s="11">
        <v>480000</v>
      </c>
      <c r="C15" s="11">
        <v>590000</v>
      </c>
      <c r="D15" s="11">
        <v>460000</v>
      </c>
      <c r="E15" s="11">
        <v>540000</v>
      </c>
      <c r="F15" s="11">
        <v>590000</v>
      </c>
      <c r="G15" s="11">
        <f>SUM(B15:F15)</f>
        <v>2660000</v>
      </c>
      <c r="H15" s="14">
        <v>295000</v>
      </c>
    </row>
    <row r="16" spans="1:8" x14ac:dyDescent="0.3">
      <c r="A16" s="1" t="s">
        <v>52</v>
      </c>
      <c r="B16" s="11">
        <v>200000</v>
      </c>
      <c r="C16" s="11">
        <v>0</v>
      </c>
      <c r="D16" s="11">
        <v>0</v>
      </c>
      <c r="E16" s="11">
        <v>490000</v>
      </c>
      <c r="F16" s="11">
        <v>570000</v>
      </c>
      <c r="G16" s="11">
        <f>SUM(B16:F16)</f>
        <v>1260000</v>
      </c>
      <c r="H16" s="14">
        <v>285000</v>
      </c>
    </row>
    <row r="17" spans="1:8" x14ac:dyDescent="0.3">
      <c r="A17" s="1" t="s">
        <v>53</v>
      </c>
      <c r="B17" s="11">
        <v>0</v>
      </c>
      <c r="C17" s="11">
        <v>390000</v>
      </c>
      <c r="D17" s="11">
        <v>190000</v>
      </c>
      <c r="E17" s="11">
        <v>270000</v>
      </c>
      <c r="F17" s="11">
        <v>580000</v>
      </c>
      <c r="G17" s="11">
        <f>SUM(B17:F17)</f>
        <v>1430000</v>
      </c>
      <c r="H17" s="14">
        <v>290000</v>
      </c>
    </row>
    <row r="18" spans="1:8" x14ac:dyDescent="0.3">
      <c r="A18" s="1" t="s">
        <v>54</v>
      </c>
      <c r="B18" s="11">
        <v>190000</v>
      </c>
      <c r="C18" s="11">
        <v>30000</v>
      </c>
      <c r="D18" s="11">
        <v>560000</v>
      </c>
      <c r="E18" s="11">
        <v>0</v>
      </c>
      <c r="F18" s="11">
        <v>20000</v>
      </c>
      <c r="G18" s="11">
        <f>SUM(B18:F18)</f>
        <v>800000</v>
      </c>
      <c r="H18" s="14">
        <v>10000</v>
      </c>
    </row>
    <row r="19" spans="1:8" x14ac:dyDescent="0.3">
      <c r="A19" s="1" t="s">
        <v>55</v>
      </c>
      <c r="B19" s="11">
        <v>530000</v>
      </c>
      <c r="C19" s="11">
        <v>80000</v>
      </c>
      <c r="D19" s="11">
        <v>420000</v>
      </c>
      <c r="E19" s="11">
        <v>180000</v>
      </c>
      <c r="F19" s="11">
        <v>0</v>
      </c>
      <c r="G19" s="11">
        <f>SUM(B19:F19)</f>
        <v>1210000</v>
      </c>
      <c r="H19" s="14">
        <v>0</v>
      </c>
    </row>
    <row r="20" spans="1:8" x14ac:dyDescent="0.3">
      <c r="A20" s="1" t="s">
        <v>56</v>
      </c>
      <c r="B20" s="11">
        <v>50000</v>
      </c>
      <c r="C20" s="11">
        <v>260000</v>
      </c>
      <c r="D20" s="11">
        <v>0</v>
      </c>
      <c r="E20" s="11">
        <v>250000</v>
      </c>
      <c r="F20" s="11">
        <v>0</v>
      </c>
      <c r="G20" s="11">
        <f>SUM(B20:F20)</f>
        <v>560000</v>
      </c>
      <c r="H20" s="14">
        <v>0</v>
      </c>
    </row>
    <row r="21" spans="1:8" x14ac:dyDescent="0.3">
      <c r="A21" s="1" t="s">
        <v>57</v>
      </c>
      <c r="B21" s="11">
        <v>410000</v>
      </c>
      <c r="C21" s="11">
        <v>60000</v>
      </c>
      <c r="D21" s="11">
        <v>380000</v>
      </c>
      <c r="E21" s="11">
        <v>480000</v>
      </c>
      <c r="F21" s="11">
        <v>550000</v>
      </c>
      <c r="G21" s="11">
        <f>SUM(B21:F21)</f>
        <v>1880000</v>
      </c>
      <c r="H21" s="14">
        <v>275000</v>
      </c>
    </row>
    <row r="22" spans="1:8" x14ac:dyDescent="0.3">
      <c r="A22" s="1" t="s">
        <v>58</v>
      </c>
      <c r="B22" s="11">
        <v>390000</v>
      </c>
      <c r="C22" s="11">
        <v>0</v>
      </c>
      <c r="D22" s="11">
        <v>10000</v>
      </c>
      <c r="E22" s="11">
        <v>70000</v>
      </c>
      <c r="F22" s="11">
        <v>0</v>
      </c>
      <c r="G22" s="11">
        <f>SUM(B22:F22)</f>
        <v>470000</v>
      </c>
      <c r="H22" s="14">
        <v>0</v>
      </c>
    </row>
    <row r="23" spans="1:8" x14ac:dyDescent="0.3">
      <c r="A23" s="10" t="s">
        <v>59</v>
      </c>
      <c r="B23" s="12">
        <f>SUM(B5:B22)</f>
        <v>4650000</v>
      </c>
      <c r="C23" s="12">
        <f>SUM(C5:C22)</f>
        <v>3780000</v>
      </c>
      <c r="D23" s="12">
        <f>SUM(D5:D22)</f>
        <v>3540000</v>
      </c>
      <c r="E23" s="12">
        <f>SUM(E5:E22)</f>
        <v>3310000</v>
      </c>
      <c r="F23" s="12">
        <f>SUM(F5:F22)</f>
        <v>5210000</v>
      </c>
      <c r="G23" s="12">
        <f>SUM(G5:G22)</f>
        <v>20490000</v>
      </c>
      <c r="H23" s="10"/>
    </row>
    <row r="2000" spans="77:78" x14ac:dyDescent="0.3">
      <c r="BY2000" s="1" t="s">
        <v>60</v>
      </c>
      <c r="BZ2000" s="11">
        <v>23065000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5F0F-3566-498E-BC60-B31A42510D45}">
  <dimension ref="A1:L17"/>
  <sheetViews>
    <sheetView workbookViewId="0"/>
  </sheetViews>
  <sheetFormatPr defaultRowHeight="14.4" x14ac:dyDescent="0.3"/>
  <cols>
    <col min="1" max="1" width="10.77734375" style="1" customWidth="1"/>
    <col min="2" max="2" width="24.77734375" style="1" customWidth="1"/>
    <col min="3" max="3" width="18.77734375" style="1" customWidth="1"/>
    <col min="4" max="4" width="12.77734375" style="1" customWidth="1"/>
    <col min="5" max="5" width="10.77734375" style="1" customWidth="1"/>
    <col min="6" max="6" width="13.77734375" style="1" hidden="1" customWidth="1"/>
    <col min="7" max="7" width="16.77734375" style="1" hidden="1" customWidth="1"/>
    <col min="8" max="8" width="18.77734375" style="1" hidden="1" customWidth="1"/>
    <col min="9" max="9" width="12.77734375" style="1" hidden="1" customWidth="1"/>
    <col min="10" max="10" width="30.77734375" style="1" hidden="1" customWidth="1"/>
    <col min="11" max="11" width="12.77734375" style="1" customWidth="1"/>
    <col min="12" max="12" width="13.77734375" style="1" customWidth="1"/>
    <col min="13" max="16384" width="8.88671875" style="1"/>
  </cols>
  <sheetData>
    <row r="1" spans="1:12" ht="19.8" x14ac:dyDescent="0.4">
      <c r="A1" s="7" t="s">
        <v>61</v>
      </c>
    </row>
    <row r="2" spans="1:12" x14ac:dyDescent="0.3">
      <c r="A2" s="3" t="s">
        <v>62</v>
      </c>
    </row>
    <row r="4" spans="1:12" x14ac:dyDescent="0.3">
      <c r="A4" s="9" t="s">
        <v>63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9" t="s">
        <v>69</v>
      </c>
      <c r="H4" s="9" t="s">
        <v>70</v>
      </c>
      <c r="I4" s="9" t="s">
        <v>71</v>
      </c>
      <c r="J4" s="9" t="s">
        <v>72</v>
      </c>
      <c r="K4" s="9" t="s">
        <v>73</v>
      </c>
      <c r="L4" s="9" t="s">
        <v>74</v>
      </c>
    </row>
    <row r="5" spans="1:12" x14ac:dyDescent="0.3">
      <c r="A5" s="1" t="s">
        <v>75</v>
      </c>
      <c r="B5" s="1" t="s">
        <v>76</v>
      </c>
      <c r="C5" s="1" t="s">
        <v>77</v>
      </c>
      <c r="D5" s="11">
        <v>20000</v>
      </c>
      <c r="E5" s="11">
        <v>1200</v>
      </c>
      <c r="F5" s="1" t="s">
        <v>78</v>
      </c>
      <c r="G5" s="15" t="s">
        <v>79</v>
      </c>
      <c r="H5" s="15" t="s">
        <v>80</v>
      </c>
      <c r="I5" s="16">
        <v>32182</v>
      </c>
      <c r="J5" s="1" t="s">
        <v>81</v>
      </c>
      <c r="K5" s="11">
        <f>D5-E5</f>
        <v>18800</v>
      </c>
      <c r="L5" s="15" t="s">
        <v>82</v>
      </c>
    </row>
    <row r="6" spans="1:12" x14ac:dyDescent="0.3">
      <c r="A6" s="1" t="s">
        <v>83</v>
      </c>
      <c r="B6" s="1" t="s">
        <v>84</v>
      </c>
      <c r="C6" s="1" t="s">
        <v>85</v>
      </c>
      <c r="D6" s="11">
        <v>42000</v>
      </c>
      <c r="E6" s="11">
        <v>1800</v>
      </c>
      <c r="F6" s="1" t="s">
        <v>86</v>
      </c>
      <c r="G6" s="15" t="s">
        <v>87</v>
      </c>
      <c r="H6" s="15" t="s">
        <v>88</v>
      </c>
      <c r="I6" s="16">
        <v>34072</v>
      </c>
      <c r="K6" s="11">
        <f>D6-E6</f>
        <v>40200</v>
      </c>
      <c r="L6" s="15" t="s">
        <v>89</v>
      </c>
    </row>
    <row r="7" spans="1:12" x14ac:dyDescent="0.3">
      <c r="A7" s="1" t="s">
        <v>90</v>
      </c>
      <c r="B7" s="1" t="s">
        <v>91</v>
      </c>
      <c r="C7" s="1" t="s">
        <v>92</v>
      </c>
      <c r="D7" s="11">
        <v>65000</v>
      </c>
      <c r="E7" s="11">
        <v>1800</v>
      </c>
      <c r="F7" s="1" t="s">
        <v>93</v>
      </c>
      <c r="G7" s="15" t="s">
        <v>94</v>
      </c>
      <c r="H7" s="15" t="s">
        <v>95</v>
      </c>
      <c r="I7" s="16">
        <v>32219</v>
      </c>
      <c r="J7" s="1" t="s">
        <v>96</v>
      </c>
      <c r="K7" s="11">
        <f>D7-E7</f>
        <v>63200</v>
      </c>
      <c r="L7" s="15" t="s">
        <v>97</v>
      </c>
    </row>
    <row r="8" spans="1:12" x14ac:dyDescent="0.3">
      <c r="A8" s="1" t="s">
        <v>98</v>
      </c>
      <c r="B8" s="1" t="s">
        <v>99</v>
      </c>
      <c r="C8" s="1" t="s">
        <v>100</v>
      </c>
      <c r="D8" s="11">
        <v>75000</v>
      </c>
      <c r="E8" s="11">
        <v>1800</v>
      </c>
      <c r="F8" s="1" t="s">
        <v>101</v>
      </c>
      <c r="G8" s="15" t="s">
        <v>102</v>
      </c>
      <c r="H8" s="15" t="s">
        <v>103</v>
      </c>
      <c r="I8" s="16">
        <v>31399</v>
      </c>
      <c r="K8" s="11">
        <f>D8-E8</f>
        <v>73200</v>
      </c>
      <c r="L8" s="15" t="s">
        <v>104</v>
      </c>
    </row>
    <row r="9" spans="1:12" x14ac:dyDescent="0.3">
      <c r="A9" s="1" t="s">
        <v>105</v>
      </c>
      <c r="B9" s="1" t="s">
        <v>106</v>
      </c>
      <c r="C9" s="1" t="s">
        <v>107</v>
      </c>
      <c r="D9" s="11">
        <v>19000</v>
      </c>
      <c r="E9" s="11">
        <v>1140</v>
      </c>
      <c r="F9" s="1" t="s">
        <v>108</v>
      </c>
      <c r="G9" s="15" t="s">
        <v>109</v>
      </c>
      <c r="H9" s="15" t="s">
        <v>110</v>
      </c>
      <c r="I9" s="16">
        <v>35036</v>
      </c>
      <c r="J9" s="1" t="s">
        <v>111</v>
      </c>
      <c r="K9" s="11">
        <f>D9-E9</f>
        <v>17860</v>
      </c>
      <c r="L9" s="15" t="s">
        <v>112</v>
      </c>
    </row>
    <row r="10" spans="1:12" x14ac:dyDescent="0.3">
      <c r="A10" s="1" t="s">
        <v>113</v>
      </c>
      <c r="B10" s="1" t="s">
        <v>114</v>
      </c>
      <c r="C10" s="1" t="s">
        <v>115</v>
      </c>
      <c r="D10" s="11">
        <v>87000</v>
      </c>
      <c r="E10" s="11">
        <v>1800</v>
      </c>
      <c r="F10" s="1" t="s">
        <v>116</v>
      </c>
      <c r="G10" s="15" t="s">
        <v>117</v>
      </c>
      <c r="H10" s="15" t="s">
        <v>118</v>
      </c>
      <c r="I10" s="16">
        <v>33317</v>
      </c>
      <c r="K10" s="11">
        <f>D10-E10</f>
        <v>85200</v>
      </c>
      <c r="L10" s="15" t="s">
        <v>119</v>
      </c>
    </row>
    <row r="11" spans="1:12" x14ac:dyDescent="0.3">
      <c r="A11" s="1" t="s">
        <v>120</v>
      </c>
      <c r="B11" s="1" t="s">
        <v>121</v>
      </c>
      <c r="C11" s="1" t="s">
        <v>122</v>
      </c>
      <c r="D11" s="11">
        <v>18000</v>
      </c>
      <c r="E11" s="11">
        <v>1080</v>
      </c>
      <c r="F11" s="1" t="s">
        <v>123</v>
      </c>
      <c r="G11" s="15" t="s">
        <v>124</v>
      </c>
      <c r="H11" s="15" t="s">
        <v>125</v>
      </c>
      <c r="I11" s="16">
        <v>29142</v>
      </c>
      <c r="J11" s="1" t="s">
        <v>126</v>
      </c>
      <c r="K11" s="11">
        <f>D11-E11</f>
        <v>16920</v>
      </c>
      <c r="L11" s="15" t="s">
        <v>127</v>
      </c>
    </row>
    <row r="12" spans="1:12" x14ac:dyDescent="0.3">
      <c r="A12" s="1" t="s">
        <v>128</v>
      </c>
      <c r="B12" s="1" t="s">
        <v>129</v>
      </c>
      <c r="C12" s="1" t="s">
        <v>130</v>
      </c>
      <c r="D12" s="11">
        <v>30000</v>
      </c>
      <c r="E12" s="11">
        <v>1800</v>
      </c>
      <c r="F12" s="1" t="s">
        <v>131</v>
      </c>
      <c r="G12" s="15" t="s">
        <v>132</v>
      </c>
      <c r="H12" s="15" t="s">
        <v>133</v>
      </c>
      <c r="I12" s="16">
        <v>30974</v>
      </c>
      <c r="K12" s="11">
        <f>D12-E12</f>
        <v>28200</v>
      </c>
      <c r="L12" s="15" t="s">
        <v>134</v>
      </c>
    </row>
    <row r="13" spans="1:12" x14ac:dyDescent="0.3">
      <c r="A13" s="1" t="s">
        <v>135</v>
      </c>
      <c r="B13" s="1" t="s">
        <v>136</v>
      </c>
      <c r="C13" s="1" t="s">
        <v>137</v>
      </c>
      <c r="D13" s="11">
        <v>74000</v>
      </c>
      <c r="E13" s="11">
        <v>1800</v>
      </c>
      <c r="F13" s="1" t="s">
        <v>138</v>
      </c>
      <c r="G13" s="15" t="s">
        <v>139</v>
      </c>
      <c r="H13" s="15" t="s">
        <v>140</v>
      </c>
      <c r="I13" s="16">
        <v>34351</v>
      </c>
      <c r="K13" s="11">
        <f>D13-E13</f>
        <v>72200</v>
      </c>
      <c r="L13" s="15" t="s">
        <v>141</v>
      </c>
    </row>
    <row r="14" spans="1:12" x14ac:dyDescent="0.3">
      <c r="A14" s="1" t="s">
        <v>142</v>
      </c>
      <c r="B14" s="1" t="s">
        <v>143</v>
      </c>
      <c r="C14" s="1" t="s">
        <v>144</v>
      </c>
      <c r="D14" s="11">
        <v>45000</v>
      </c>
      <c r="E14" s="11">
        <v>1800</v>
      </c>
      <c r="F14" s="1" t="s">
        <v>145</v>
      </c>
      <c r="G14" s="15" t="s">
        <v>146</v>
      </c>
      <c r="H14" s="15" t="s">
        <v>147</v>
      </c>
      <c r="I14" s="16">
        <v>36329</v>
      </c>
      <c r="J14" s="1" t="s">
        <v>148</v>
      </c>
      <c r="K14" s="11">
        <f>D14-E14</f>
        <v>43200</v>
      </c>
      <c r="L14" s="15" t="s">
        <v>149</v>
      </c>
    </row>
    <row r="15" spans="1:12" x14ac:dyDescent="0.3">
      <c r="A15" s="1" t="s">
        <v>150</v>
      </c>
      <c r="B15" s="1" t="s">
        <v>151</v>
      </c>
      <c r="C15" s="1" t="s">
        <v>152</v>
      </c>
      <c r="D15" s="11">
        <v>50000</v>
      </c>
      <c r="E15" s="11">
        <v>1800</v>
      </c>
      <c r="F15" s="1" t="s">
        <v>153</v>
      </c>
      <c r="G15" s="15" t="s">
        <v>154</v>
      </c>
      <c r="H15" s="15" t="s">
        <v>155</v>
      </c>
      <c r="I15" s="16">
        <v>36166</v>
      </c>
      <c r="K15" s="11">
        <f>D15-E15</f>
        <v>48200</v>
      </c>
      <c r="L15" s="15" t="s">
        <v>156</v>
      </c>
    </row>
    <row r="16" spans="1:12" x14ac:dyDescent="0.3">
      <c r="A16" s="1" t="s">
        <v>157</v>
      </c>
      <c r="B16" s="1" t="s">
        <v>158</v>
      </c>
      <c r="C16" s="1" t="s">
        <v>159</v>
      </c>
      <c r="D16" s="11">
        <v>52000</v>
      </c>
      <c r="E16" s="11">
        <v>1800</v>
      </c>
      <c r="F16" s="1" t="s">
        <v>160</v>
      </c>
      <c r="G16" s="15" t="s">
        <v>161</v>
      </c>
      <c r="H16" s="15" t="s">
        <v>162</v>
      </c>
      <c r="I16" s="16">
        <v>29515</v>
      </c>
      <c r="J16" s="1" t="s">
        <v>163</v>
      </c>
      <c r="K16" s="11">
        <f>D16-E16</f>
        <v>50200</v>
      </c>
      <c r="L16" s="15" t="s">
        <v>164</v>
      </c>
    </row>
    <row r="17" spans="4:11" x14ac:dyDescent="0.3">
      <c r="D17" s="11"/>
      <c r="E17" s="11"/>
      <c r="K17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14A6-E7C8-420C-AD48-6F977C9F4D85}">
  <dimension ref="A1:G43"/>
  <sheetViews>
    <sheetView workbookViewId="0"/>
  </sheetViews>
  <sheetFormatPr defaultRowHeight="14.4" x14ac:dyDescent="0.3"/>
  <cols>
    <col min="1" max="2" width="12.77734375" style="1" customWidth="1"/>
    <col min="3" max="3" width="30.77734375" style="1" customWidth="1"/>
    <col min="4" max="4" width="14.77734375" style="1" customWidth="1"/>
    <col min="5" max="6" width="12.77734375" style="1" customWidth="1"/>
    <col min="7" max="7" width="14.77734375" style="1" customWidth="1"/>
    <col min="8" max="16384" width="8.88671875" style="1"/>
  </cols>
  <sheetData>
    <row r="1" spans="1:7" ht="19.8" x14ac:dyDescent="0.4">
      <c r="A1" s="7" t="s">
        <v>165</v>
      </c>
    </row>
    <row r="2" spans="1:7" x14ac:dyDescent="0.3">
      <c r="A2" s="3" t="s">
        <v>166</v>
      </c>
    </row>
    <row r="5" spans="1:7" x14ac:dyDescent="0.3">
      <c r="A5" s="9" t="s">
        <v>167</v>
      </c>
      <c r="B5" s="9" t="s">
        <v>168</v>
      </c>
      <c r="C5" s="9" t="s">
        <v>33</v>
      </c>
      <c r="D5" s="9" t="s">
        <v>169</v>
      </c>
      <c r="E5" s="9" t="s">
        <v>170</v>
      </c>
      <c r="F5" s="9" t="s">
        <v>171</v>
      </c>
      <c r="G5" s="9" t="s">
        <v>39</v>
      </c>
    </row>
    <row r="6" spans="1:7" x14ac:dyDescent="0.3">
      <c r="A6" s="1" t="s">
        <v>172</v>
      </c>
      <c r="B6" s="16">
        <v>46023</v>
      </c>
      <c r="C6" s="1" t="s">
        <v>44</v>
      </c>
      <c r="D6" s="17">
        <v>357000</v>
      </c>
      <c r="E6" s="17">
        <f>ROUND(D6*9%,0)</f>
        <v>32130</v>
      </c>
      <c r="F6" s="17">
        <f>ROUND(D6*9%,0)</f>
        <v>32130</v>
      </c>
      <c r="G6" s="17">
        <f>SUM(D6:F6)</f>
        <v>421260</v>
      </c>
    </row>
    <row r="7" spans="1:7" x14ac:dyDescent="0.3">
      <c r="A7" s="1" t="s">
        <v>173</v>
      </c>
      <c r="B7" s="16">
        <v>46025</v>
      </c>
      <c r="C7" s="1" t="s">
        <v>51</v>
      </c>
      <c r="D7" s="17">
        <v>168000</v>
      </c>
      <c r="E7" s="17">
        <f>ROUND(D7*9%,0)</f>
        <v>15120</v>
      </c>
      <c r="F7" s="17">
        <f>ROUND(D7*9%,0)</f>
        <v>15120</v>
      </c>
      <c r="G7" s="17">
        <f>SUM(D7:F7)</f>
        <v>198240</v>
      </c>
    </row>
    <row r="8" spans="1:7" x14ac:dyDescent="0.3">
      <c r="A8" s="1" t="s">
        <v>174</v>
      </c>
      <c r="B8" s="16">
        <v>46027</v>
      </c>
      <c r="C8" s="1" t="s">
        <v>47</v>
      </c>
      <c r="D8" s="17">
        <v>172000</v>
      </c>
      <c r="E8" s="17">
        <f>ROUND(D8*9%,0)</f>
        <v>15480</v>
      </c>
      <c r="F8" s="17">
        <f>ROUND(D8*9%,0)</f>
        <v>15480</v>
      </c>
      <c r="G8" s="17">
        <f>SUM(D8:F8)</f>
        <v>202960</v>
      </c>
    </row>
    <row r="9" spans="1:7" x14ac:dyDescent="0.3">
      <c r="A9" s="1" t="s">
        <v>175</v>
      </c>
      <c r="B9" s="16">
        <v>46029</v>
      </c>
      <c r="C9" s="1" t="s">
        <v>53</v>
      </c>
      <c r="D9" s="17">
        <v>452000</v>
      </c>
      <c r="E9" s="17">
        <f>ROUND(D9*9%,0)</f>
        <v>40680</v>
      </c>
      <c r="F9" s="17">
        <f>ROUND(D9*9%,0)</f>
        <v>40680</v>
      </c>
      <c r="G9" s="17">
        <f>SUM(D9:F9)</f>
        <v>533360</v>
      </c>
    </row>
    <row r="10" spans="1:7" x14ac:dyDescent="0.3">
      <c r="A10" s="1" t="s">
        <v>176</v>
      </c>
      <c r="B10" s="16">
        <v>46031</v>
      </c>
      <c r="C10" s="1" t="s">
        <v>54</v>
      </c>
      <c r="D10" s="17">
        <v>271000</v>
      </c>
      <c r="E10" s="17">
        <f>ROUND(D10*9%,0)</f>
        <v>24390</v>
      </c>
      <c r="F10" s="17">
        <f>ROUND(D10*9%,0)</f>
        <v>24390</v>
      </c>
      <c r="G10" s="17">
        <f>SUM(D10:F10)</f>
        <v>319780</v>
      </c>
    </row>
    <row r="11" spans="1:7" x14ac:dyDescent="0.3">
      <c r="A11" s="1" t="s">
        <v>177</v>
      </c>
      <c r="B11" s="16">
        <v>46033</v>
      </c>
      <c r="C11" s="1" t="s">
        <v>58</v>
      </c>
      <c r="D11" s="17">
        <v>514000</v>
      </c>
      <c r="E11" s="17">
        <f>ROUND(D11*9%,0)</f>
        <v>46260</v>
      </c>
      <c r="F11" s="17">
        <f>ROUND(D11*9%,0)</f>
        <v>46260</v>
      </c>
      <c r="G11" s="17">
        <f>SUM(D11:F11)</f>
        <v>606520</v>
      </c>
    </row>
    <row r="12" spans="1:7" x14ac:dyDescent="0.3">
      <c r="A12" s="1" t="s">
        <v>178</v>
      </c>
      <c r="B12" s="16">
        <v>46035</v>
      </c>
      <c r="C12" s="1" t="s">
        <v>43</v>
      </c>
      <c r="D12" s="17">
        <v>226000</v>
      </c>
      <c r="E12" s="17">
        <f>ROUND(D12*9%,0)</f>
        <v>20340</v>
      </c>
      <c r="F12" s="17">
        <f>ROUND(D12*9%,0)</f>
        <v>20340</v>
      </c>
      <c r="G12" s="17">
        <f>SUM(D12:F12)</f>
        <v>266680</v>
      </c>
    </row>
    <row r="13" spans="1:7" x14ac:dyDescent="0.3">
      <c r="A13" s="1" t="s">
        <v>179</v>
      </c>
      <c r="B13" s="16">
        <v>46068</v>
      </c>
      <c r="C13" s="1" t="s">
        <v>43</v>
      </c>
      <c r="D13" s="17">
        <v>101000</v>
      </c>
      <c r="E13" s="17">
        <f>ROUND(D13*9%,0)</f>
        <v>9090</v>
      </c>
      <c r="F13" s="17">
        <f>ROUND(D13*9%,0)</f>
        <v>9090</v>
      </c>
      <c r="G13" s="17">
        <f>SUM(D13:F13)</f>
        <v>119180</v>
      </c>
    </row>
    <row r="14" spans="1:7" x14ac:dyDescent="0.3">
      <c r="A14" s="1" t="s">
        <v>180</v>
      </c>
      <c r="B14" s="16">
        <v>46070</v>
      </c>
      <c r="C14" s="1" t="s">
        <v>44</v>
      </c>
      <c r="D14" s="17">
        <v>415000</v>
      </c>
      <c r="E14" s="17">
        <f>ROUND(D14*9%,0)</f>
        <v>37350</v>
      </c>
      <c r="F14" s="17">
        <f>ROUND(D14*9%,0)</f>
        <v>37350</v>
      </c>
      <c r="G14" s="17">
        <f>SUM(D14:F14)</f>
        <v>489700</v>
      </c>
    </row>
    <row r="15" spans="1:7" x14ac:dyDescent="0.3">
      <c r="A15" s="1" t="s">
        <v>181</v>
      </c>
      <c r="B15" s="16">
        <v>46072</v>
      </c>
      <c r="C15" s="1" t="s">
        <v>52</v>
      </c>
      <c r="D15" s="17">
        <v>234000</v>
      </c>
      <c r="E15" s="17">
        <f>ROUND(D15*9%,0)</f>
        <v>21060</v>
      </c>
      <c r="F15" s="17">
        <f>ROUND(D15*9%,0)</f>
        <v>21060</v>
      </c>
      <c r="G15" s="17">
        <f>SUM(D15:F15)</f>
        <v>276120</v>
      </c>
    </row>
    <row r="16" spans="1:7" x14ac:dyDescent="0.3">
      <c r="A16" s="1" t="s">
        <v>182</v>
      </c>
      <c r="B16" s="16">
        <v>46074</v>
      </c>
      <c r="C16" s="1" t="s">
        <v>57</v>
      </c>
      <c r="D16" s="17">
        <v>312000</v>
      </c>
      <c r="E16" s="17">
        <f>ROUND(D16*9%,0)</f>
        <v>28080</v>
      </c>
      <c r="F16" s="17">
        <f>ROUND(D16*9%,0)</f>
        <v>28080</v>
      </c>
      <c r="G16" s="17">
        <f>SUM(D16:F16)</f>
        <v>368160</v>
      </c>
    </row>
    <row r="17" spans="1:7" x14ac:dyDescent="0.3">
      <c r="A17" s="1" t="s">
        <v>183</v>
      </c>
      <c r="B17" s="16">
        <v>46076</v>
      </c>
      <c r="C17" s="1" t="s">
        <v>47</v>
      </c>
      <c r="D17" s="17">
        <v>265000</v>
      </c>
      <c r="E17" s="17">
        <f>ROUND(D17*9%,0)</f>
        <v>23850</v>
      </c>
      <c r="F17" s="17">
        <f>ROUND(D17*9%,0)</f>
        <v>23850</v>
      </c>
      <c r="G17" s="17">
        <f>SUM(D17:F17)</f>
        <v>312700</v>
      </c>
    </row>
    <row r="18" spans="1:7" x14ac:dyDescent="0.3">
      <c r="A18" s="1" t="s">
        <v>184</v>
      </c>
      <c r="B18" s="16">
        <v>46078</v>
      </c>
      <c r="C18" s="1" t="s">
        <v>54</v>
      </c>
      <c r="D18" s="17">
        <v>221000</v>
      </c>
      <c r="E18" s="17">
        <f>ROUND(D18*9%,0)</f>
        <v>19890</v>
      </c>
      <c r="F18" s="17">
        <f>ROUND(D18*9%,0)</f>
        <v>19890</v>
      </c>
      <c r="G18" s="17">
        <f>SUM(D18:F18)</f>
        <v>260780</v>
      </c>
    </row>
    <row r="19" spans="1:7" x14ac:dyDescent="0.3">
      <c r="A19" s="1" t="s">
        <v>185</v>
      </c>
      <c r="B19" s="16">
        <v>46080</v>
      </c>
      <c r="C19" s="1" t="s">
        <v>50</v>
      </c>
      <c r="D19" s="17">
        <v>464000</v>
      </c>
      <c r="E19" s="17">
        <f>ROUND(D19*9%,0)</f>
        <v>41760</v>
      </c>
      <c r="F19" s="17">
        <f>ROUND(D19*9%,0)</f>
        <v>41760</v>
      </c>
      <c r="G19" s="17">
        <f>SUM(D19:F19)</f>
        <v>547520</v>
      </c>
    </row>
    <row r="20" spans="1:7" x14ac:dyDescent="0.3">
      <c r="A20" s="1" t="s">
        <v>186</v>
      </c>
      <c r="B20" s="16">
        <v>46055</v>
      </c>
      <c r="C20" s="1" t="s">
        <v>54</v>
      </c>
      <c r="D20" s="17">
        <v>57000</v>
      </c>
      <c r="E20" s="17">
        <f>ROUND(D20*9%,0)</f>
        <v>5130</v>
      </c>
      <c r="F20" s="17">
        <f>ROUND(D20*9%,0)</f>
        <v>5130</v>
      </c>
      <c r="G20" s="17">
        <f>SUM(D20:F20)</f>
        <v>67260</v>
      </c>
    </row>
    <row r="21" spans="1:7" x14ac:dyDescent="0.3">
      <c r="A21" s="1" t="s">
        <v>187</v>
      </c>
      <c r="B21" s="16">
        <v>46057</v>
      </c>
      <c r="C21" s="1" t="s">
        <v>43</v>
      </c>
      <c r="D21" s="17">
        <v>403000</v>
      </c>
      <c r="E21" s="17">
        <f>ROUND(D21*9%,0)</f>
        <v>36270</v>
      </c>
      <c r="F21" s="17">
        <f>ROUND(D21*9%,0)</f>
        <v>36270</v>
      </c>
      <c r="G21" s="17">
        <f>SUM(D21:F21)</f>
        <v>475540</v>
      </c>
    </row>
    <row r="22" spans="1:7" x14ac:dyDescent="0.3">
      <c r="A22" s="1" t="s">
        <v>188</v>
      </c>
      <c r="B22" s="16">
        <v>46059</v>
      </c>
      <c r="C22" s="1" t="s">
        <v>56</v>
      </c>
      <c r="D22" s="17">
        <v>181000</v>
      </c>
      <c r="E22" s="17">
        <f>ROUND(D22*9%,0)</f>
        <v>16290</v>
      </c>
      <c r="F22" s="17">
        <f>ROUND(D22*9%,0)</f>
        <v>16290</v>
      </c>
      <c r="G22" s="17">
        <f>SUM(D22:F22)</f>
        <v>213580</v>
      </c>
    </row>
    <row r="23" spans="1:7" x14ac:dyDescent="0.3">
      <c r="A23" s="1" t="s">
        <v>189</v>
      </c>
      <c r="B23" s="16">
        <v>46061</v>
      </c>
      <c r="C23" s="1" t="s">
        <v>52</v>
      </c>
      <c r="D23" s="17">
        <v>565000</v>
      </c>
      <c r="E23" s="17">
        <f>ROUND(D23*9%,0)</f>
        <v>50850</v>
      </c>
      <c r="F23" s="17">
        <f>ROUND(D23*9%,0)</f>
        <v>50850</v>
      </c>
      <c r="G23" s="17">
        <f>SUM(D23:F23)</f>
        <v>666700</v>
      </c>
    </row>
    <row r="24" spans="1:7" x14ac:dyDescent="0.3">
      <c r="A24" s="1" t="s">
        <v>190</v>
      </c>
      <c r="B24" s="16">
        <v>46063</v>
      </c>
      <c r="C24" s="1" t="s">
        <v>54</v>
      </c>
      <c r="D24" s="17">
        <v>594000</v>
      </c>
      <c r="E24" s="17">
        <f>ROUND(D24*9%,0)</f>
        <v>53460</v>
      </c>
      <c r="F24" s="17">
        <f>ROUND(D24*9%,0)</f>
        <v>53460</v>
      </c>
      <c r="G24" s="17">
        <f>SUM(D24:F24)</f>
        <v>700920</v>
      </c>
    </row>
    <row r="25" spans="1:7" x14ac:dyDescent="0.3">
      <c r="A25" s="1" t="s">
        <v>191</v>
      </c>
      <c r="B25" s="16">
        <v>46065</v>
      </c>
      <c r="C25" s="1" t="s">
        <v>52</v>
      </c>
      <c r="D25" s="17">
        <v>116000</v>
      </c>
      <c r="E25" s="17">
        <f>ROUND(D25*9%,0)</f>
        <v>10440</v>
      </c>
      <c r="F25" s="17">
        <f>ROUND(D25*9%,0)</f>
        <v>10440</v>
      </c>
      <c r="G25" s="17">
        <f>SUM(D25:F25)</f>
        <v>136880</v>
      </c>
    </row>
    <row r="26" spans="1:7" x14ac:dyDescent="0.3">
      <c r="A26" s="1" t="s">
        <v>192</v>
      </c>
      <c r="B26" s="16">
        <v>46095</v>
      </c>
      <c r="C26" s="1" t="s">
        <v>42</v>
      </c>
      <c r="D26" s="17">
        <v>426000</v>
      </c>
      <c r="E26" s="17">
        <f>ROUND(D26*9%,0)</f>
        <v>38340</v>
      </c>
      <c r="F26" s="17">
        <f>ROUND(D26*9%,0)</f>
        <v>38340</v>
      </c>
      <c r="G26" s="17">
        <f>SUM(D26:F26)</f>
        <v>502680</v>
      </c>
    </row>
    <row r="27" spans="1:7" x14ac:dyDescent="0.3">
      <c r="A27" s="1" t="s">
        <v>193</v>
      </c>
      <c r="B27" s="16">
        <v>46097</v>
      </c>
      <c r="C27" s="1" t="s">
        <v>43</v>
      </c>
      <c r="D27" s="17">
        <v>84000</v>
      </c>
      <c r="E27" s="17">
        <f>ROUND(D27*9%,0)</f>
        <v>7560</v>
      </c>
      <c r="F27" s="17">
        <f>ROUND(D27*9%,0)</f>
        <v>7560</v>
      </c>
      <c r="G27" s="17">
        <f>SUM(D27:F27)</f>
        <v>99120</v>
      </c>
    </row>
    <row r="28" spans="1:7" hidden="1" x14ac:dyDescent="0.3">
      <c r="A28" s="1" t="s">
        <v>194</v>
      </c>
      <c r="B28" s="16">
        <v>46099</v>
      </c>
      <c r="C28" s="1" t="s">
        <v>56</v>
      </c>
      <c r="D28" s="17">
        <v>-44000</v>
      </c>
      <c r="E28" s="17">
        <f>ROUND(D28*9%,0)</f>
        <v>-3960</v>
      </c>
      <c r="F28" s="17">
        <f>ROUND(D28*9%,0)</f>
        <v>-3960</v>
      </c>
      <c r="G28" s="17">
        <f>SUM(D28:F28)</f>
        <v>-51920</v>
      </c>
    </row>
    <row r="29" spans="1:7" hidden="1" x14ac:dyDescent="0.3">
      <c r="A29" s="1" t="s">
        <v>195</v>
      </c>
      <c r="B29" s="16">
        <v>46101</v>
      </c>
      <c r="C29" s="1" t="s">
        <v>47</v>
      </c>
      <c r="D29" s="17">
        <v>-60000</v>
      </c>
      <c r="E29" s="17">
        <f>ROUND(D29*9%,0)</f>
        <v>-5400</v>
      </c>
      <c r="F29" s="17">
        <f>ROUND(D29*9%,0)</f>
        <v>-5400</v>
      </c>
      <c r="G29" s="17">
        <f>SUM(D29:F29)</f>
        <v>-70800</v>
      </c>
    </row>
    <row r="30" spans="1:7" hidden="1" x14ac:dyDescent="0.3">
      <c r="A30" s="1" t="s">
        <v>196</v>
      </c>
      <c r="B30" s="16">
        <v>46103</v>
      </c>
      <c r="C30" s="1" t="s">
        <v>48</v>
      </c>
      <c r="D30" s="17">
        <v>-63000</v>
      </c>
      <c r="E30" s="17">
        <f>ROUND(D30*9%,0)</f>
        <v>-5670</v>
      </c>
      <c r="F30" s="17">
        <f>ROUND(D30*9%,0)</f>
        <v>-5670</v>
      </c>
      <c r="G30" s="17">
        <f>SUM(D30:F30)</f>
        <v>-74340</v>
      </c>
    </row>
    <row r="31" spans="1:7" hidden="1" x14ac:dyDescent="0.3">
      <c r="A31" s="1" t="s">
        <v>197</v>
      </c>
      <c r="B31" s="16">
        <v>46105</v>
      </c>
      <c r="C31" s="1" t="s">
        <v>52</v>
      </c>
      <c r="D31" s="17">
        <v>-86000</v>
      </c>
      <c r="E31" s="17">
        <f>ROUND(D31*9%,0)</f>
        <v>-7740</v>
      </c>
      <c r="F31" s="17">
        <f>ROUND(D31*9%,0)</f>
        <v>-7740</v>
      </c>
      <c r="G31" s="17">
        <f>SUM(D31:F31)</f>
        <v>-101480</v>
      </c>
    </row>
    <row r="32" spans="1:7" hidden="1" x14ac:dyDescent="0.3">
      <c r="A32" s="1" t="s">
        <v>198</v>
      </c>
      <c r="B32" s="16">
        <v>46107</v>
      </c>
      <c r="C32" s="1" t="s">
        <v>45</v>
      </c>
      <c r="D32" s="17">
        <v>-81000</v>
      </c>
      <c r="E32" s="17">
        <f>ROUND(D32*9%,0)</f>
        <v>-7290</v>
      </c>
      <c r="F32" s="17">
        <f>ROUND(D32*9%,0)</f>
        <v>-7290</v>
      </c>
      <c r="G32" s="17">
        <f>SUM(D32:F32)</f>
        <v>-95580</v>
      </c>
    </row>
    <row r="33" spans="1:7" hidden="1" x14ac:dyDescent="0.3">
      <c r="A33" s="1" t="s">
        <v>199</v>
      </c>
      <c r="B33" s="16">
        <v>46082</v>
      </c>
      <c r="C33" s="1" t="s">
        <v>45</v>
      </c>
      <c r="D33" s="17">
        <v>-63000</v>
      </c>
      <c r="E33" s="17">
        <f>ROUND(D33*9%,0)</f>
        <v>-5670</v>
      </c>
      <c r="F33" s="17">
        <f>ROUND(D33*9%,0)</f>
        <v>-5670</v>
      </c>
      <c r="G33" s="17">
        <f>SUM(D33:F33)</f>
        <v>-74340</v>
      </c>
    </row>
    <row r="34" spans="1:7" hidden="1" x14ac:dyDescent="0.3">
      <c r="A34" s="1" t="s">
        <v>200</v>
      </c>
      <c r="B34" s="16">
        <v>46084</v>
      </c>
      <c r="C34" s="1" t="s">
        <v>42</v>
      </c>
      <c r="D34" s="17">
        <v>-66000</v>
      </c>
      <c r="E34" s="17">
        <f>ROUND(D34*9%,0)</f>
        <v>-5940</v>
      </c>
      <c r="F34" s="17">
        <f>ROUND(D34*9%,0)</f>
        <v>-5940</v>
      </c>
      <c r="G34" s="17">
        <f>SUM(D34:F34)</f>
        <v>-77880</v>
      </c>
    </row>
    <row r="35" spans="1:7" hidden="1" x14ac:dyDescent="0.3">
      <c r="A35" s="1" t="s">
        <v>201</v>
      </c>
      <c r="B35" s="16">
        <v>46086</v>
      </c>
      <c r="C35" s="1" t="s">
        <v>49</v>
      </c>
      <c r="D35" s="17">
        <v>-69000</v>
      </c>
      <c r="E35" s="17">
        <f>ROUND(D35*9%,0)</f>
        <v>-6210</v>
      </c>
      <c r="F35" s="17">
        <f>ROUND(D35*9%,0)</f>
        <v>-6210</v>
      </c>
      <c r="G35" s="17">
        <f>SUM(D35:F35)</f>
        <v>-81420</v>
      </c>
    </row>
    <row r="36" spans="1:7" hidden="1" x14ac:dyDescent="0.3">
      <c r="A36" s="1" t="s">
        <v>202</v>
      </c>
      <c r="B36" s="16">
        <v>46088</v>
      </c>
      <c r="C36" s="1" t="s">
        <v>43</v>
      </c>
      <c r="D36" s="17">
        <v>-51000</v>
      </c>
      <c r="E36" s="17">
        <f>ROUND(D36*9%,0)</f>
        <v>-4590</v>
      </c>
      <c r="F36" s="17">
        <f>ROUND(D36*9%,0)</f>
        <v>-4590</v>
      </c>
      <c r="G36" s="17">
        <f>SUM(D36:F36)</f>
        <v>-60180</v>
      </c>
    </row>
    <row r="37" spans="1:7" hidden="1" x14ac:dyDescent="0.3">
      <c r="A37" s="1" t="s">
        <v>203</v>
      </c>
      <c r="B37" s="16">
        <v>46090</v>
      </c>
      <c r="C37" s="1" t="s">
        <v>53</v>
      </c>
      <c r="D37" s="17">
        <v>-22000</v>
      </c>
      <c r="E37" s="17">
        <f>ROUND(D37*9%,0)</f>
        <v>-1980</v>
      </c>
      <c r="F37" s="17">
        <f>ROUND(D37*9%,0)</f>
        <v>-1980</v>
      </c>
      <c r="G37" s="17">
        <f>SUM(D37:F37)</f>
        <v>-25960</v>
      </c>
    </row>
    <row r="38" spans="1:7" hidden="1" x14ac:dyDescent="0.3">
      <c r="A38" s="1" t="s">
        <v>204</v>
      </c>
      <c r="B38" s="16">
        <v>46092</v>
      </c>
      <c r="C38" s="1" t="s">
        <v>56</v>
      </c>
      <c r="D38" s="17">
        <v>-47000</v>
      </c>
      <c r="E38" s="17">
        <f>ROUND(D38*9%,0)</f>
        <v>-4230</v>
      </c>
      <c r="F38" s="17">
        <f>ROUND(D38*9%,0)</f>
        <v>-4230</v>
      </c>
      <c r="G38" s="17">
        <f>SUM(D38:F38)</f>
        <v>-55460</v>
      </c>
    </row>
    <row r="39" spans="1:7" hidden="1" x14ac:dyDescent="0.3">
      <c r="A39" s="1" t="s">
        <v>205</v>
      </c>
      <c r="B39" s="16">
        <v>46125</v>
      </c>
      <c r="C39" s="1" t="s">
        <v>58</v>
      </c>
      <c r="D39" s="17">
        <v>-28000</v>
      </c>
      <c r="E39" s="17">
        <f>ROUND(D39*9%,0)</f>
        <v>-2520</v>
      </c>
      <c r="F39" s="17">
        <f>ROUND(D39*9%,0)</f>
        <v>-2520</v>
      </c>
      <c r="G39" s="17">
        <f>SUM(D39:F39)</f>
        <v>-33040</v>
      </c>
    </row>
    <row r="40" spans="1:7" hidden="1" x14ac:dyDescent="0.3">
      <c r="A40" s="1" t="s">
        <v>206</v>
      </c>
      <c r="B40" s="16">
        <v>46127</v>
      </c>
      <c r="C40" s="1" t="s">
        <v>57</v>
      </c>
      <c r="D40" s="17">
        <v>-61000</v>
      </c>
      <c r="E40" s="17">
        <f>ROUND(D40*9%,0)</f>
        <v>-5490</v>
      </c>
      <c r="F40" s="17">
        <f>ROUND(D40*9%,0)</f>
        <v>-5490</v>
      </c>
      <c r="G40" s="17">
        <f>SUM(D40:F40)</f>
        <v>-71980</v>
      </c>
    </row>
    <row r="41" spans="1:7" hidden="1" x14ac:dyDescent="0.3">
      <c r="A41" s="1" t="s">
        <v>207</v>
      </c>
      <c r="B41" s="16">
        <v>46129</v>
      </c>
      <c r="C41" s="1" t="s">
        <v>41</v>
      </c>
      <c r="D41" s="17">
        <v>-32000</v>
      </c>
      <c r="E41" s="17">
        <f>ROUND(D41*9%,0)</f>
        <v>-2880</v>
      </c>
      <c r="F41" s="17">
        <f>ROUND(D41*9%,0)</f>
        <v>-2880</v>
      </c>
      <c r="G41" s="17">
        <f>SUM(D41:F41)</f>
        <v>-37760</v>
      </c>
    </row>
    <row r="42" spans="1:7" hidden="1" x14ac:dyDescent="0.3">
      <c r="A42" s="1" t="s">
        <v>208</v>
      </c>
      <c r="B42" s="16">
        <v>46131</v>
      </c>
      <c r="C42" s="1" t="s">
        <v>56</v>
      </c>
      <c r="D42" s="17">
        <v>-34000</v>
      </c>
      <c r="E42" s="17">
        <f>ROUND(D42*9%,0)</f>
        <v>-3060</v>
      </c>
      <c r="F42" s="17">
        <f>ROUND(D42*9%,0)</f>
        <v>-3060</v>
      </c>
      <c r="G42" s="17">
        <f>SUM(D42:F42)</f>
        <v>-40120</v>
      </c>
    </row>
    <row r="43" spans="1:7" x14ac:dyDescent="0.3">
      <c r="A43" s="10"/>
      <c r="B43" s="10"/>
      <c r="C43" s="10" t="s">
        <v>209</v>
      </c>
      <c r="D43" s="18">
        <f>SUBTOTAL(109,D6:D42)</f>
        <v>6598000</v>
      </c>
      <c r="E43" s="18">
        <f>SUBTOTAL(109,E6:E42)</f>
        <v>593820</v>
      </c>
      <c r="F43" s="18">
        <f>SUBTOTAL(109,F6:F42)</f>
        <v>593820</v>
      </c>
      <c r="G43" s="18">
        <f>SUBTOTAL(109,G6:G42)</f>
        <v>7785640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C810-29C5-4897-8A18-EF093FF4215A}">
  <dimension ref="A1:F15"/>
  <sheetViews>
    <sheetView workbookViewId="0"/>
  </sheetViews>
  <sheetFormatPr defaultRowHeight="14.4" outlineLevelRow="1" x14ac:dyDescent="0.3"/>
  <cols>
    <col min="1" max="1" width="46.77734375" style="1" customWidth="1"/>
    <col min="2" max="4" width="15.77734375" style="1" customWidth="1"/>
    <col min="5" max="16384" width="8.88671875" style="1"/>
  </cols>
  <sheetData>
    <row r="1" spans="1:6" ht="19.8" x14ac:dyDescent="0.4">
      <c r="A1" s="7" t="s">
        <v>210</v>
      </c>
    </row>
    <row r="2" spans="1:6" x14ac:dyDescent="0.3">
      <c r="A2" s="3" t="s">
        <v>211</v>
      </c>
    </row>
    <row r="4" spans="1:6" x14ac:dyDescent="0.3">
      <c r="A4" s="9" t="s">
        <v>212</v>
      </c>
      <c r="B4" s="9" t="s">
        <v>213</v>
      </c>
      <c r="C4" s="9" t="s">
        <v>214</v>
      </c>
      <c r="D4" s="9" t="s">
        <v>215</v>
      </c>
    </row>
    <row r="5" spans="1:6" x14ac:dyDescent="0.3">
      <c r="A5" s="1" t="s">
        <v>216</v>
      </c>
      <c r="B5" s="11">
        <v>2840000</v>
      </c>
      <c r="C5" s="11">
        <v>2840000</v>
      </c>
      <c r="D5" s="11">
        <f>B5-C5</f>
        <v>0</v>
      </c>
      <c r="F5" s="19" t="s">
        <v>227</v>
      </c>
    </row>
    <row r="6" spans="1:6" x14ac:dyDescent="0.3">
      <c r="A6" s="1" t="s">
        <v>217</v>
      </c>
      <c r="B6" s="11">
        <v>412000</v>
      </c>
      <c r="C6" s="11">
        <v>398000</v>
      </c>
      <c r="D6" s="11">
        <f>B6-C6</f>
        <v>14000</v>
      </c>
    </row>
    <row r="7" spans="1:6" x14ac:dyDescent="0.3">
      <c r="A7" s="1" t="s">
        <v>218</v>
      </c>
      <c r="B7" s="11">
        <v>186000</v>
      </c>
      <c r="C7" s="11">
        <v>186000</v>
      </c>
      <c r="D7" s="11">
        <f>B7-C7</f>
        <v>0</v>
      </c>
    </row>
    <row r="8" spans="1:6" x14ac:dyDescent="0.3">
      <c r="A8" s="1" t="s">
        <v>219</v>
      </c>
      <c r="B8" s="11">
        <v>720000</v>
      </c>
      <c r="C8" s="11">
        <v>720000</v>
      </c>
      <c r="D8" s="11">
        <f>B8-C8</f>
        <v>0</v>
      </c>
    </row>
    <row r="9" spans="1:6" x14ac:dyDescent="0.3">
      <c r="A9" s="1" t="s">
        <v>220</v>
      </c>
      <c r="B9" s="11">
        <v>54000</v>
      </c>
      <c r="C9" s="11">
        <v>54000</v>
      </c>
      <c r="D9" s="11">
        <f>B9-C9</f>
        <v>0</v>
      </c>
    </row>
    <row r="10" spans="1:6" x14ac:dyDescent="0.3">
      <c r="A10" s="8" t="s">
        <v>221</v>
      </c>
      <c r="B10" s="11"/>
      <c r="C10" s="11"/>
      <c r="D10" s="11"/>
    </row>
    <row r="11" spans="1:6" hidden="1" outlineLevel="1" x14ac:dyDescent="0.3">
      <c r="A11" s="1" t="s">
        <v>222</v>
      </c>
      <c r="B11" s="11">
        <v>168000</v>
      </c>
      <c r="C11" s="11">
        <v>168000</v>
      </c>
      <c r="D11" s="11">
        <f>B11-C11</f>
        <v>0</v>
      </c>
    </row>
    <row r="12" spans="1:6" hidden="1" outlineLevel="1" x14ac:dyDescent="0.3">
      <c r="A12" s="1" t="s">
        <v>223</v>
      </c>
      <c r="B12" s="11">
        <v>42000</v>
      </c>
      <c r="C12" s="11">
        <v>42000</v>
      </c>
      <c r="D12" s="11">
        <f>B12-C12</f>
        <v>0</v>
      </c>
    </row>
    <row r="13" spans="1:6" hidden="1" outlineLevel="1" x14ac:dyDescent="0.3">
      <c r="A13" s="1" t="s">
        <v>224</v>
      </c>
      <c r="B13" s="11">
        <v>36000</v>
      </c>
      <c r="C13" s="11">
        <v>36000</v>
      </c>
      <c r="D13" s="11">
        <f>B13-C13</f>
        <v>0</v>
      </c>
    </row>
    <row r="14" spans="1:6" hidden="1" outlineLevel="1" x14ac:dyDescent="0.3">
      <c r="A14" s="1" t="s">
        <v>225</v>
      </c>
      <c r="B14" s="11">
        <v>28000</v>
      </c>
      <c r="C14" s="11">
        <v>28000</v>
      </c>
      <c r="D14" s="11">
        <f>B14-C14</f>
        <v>0</v>
      </c>
    </row>
    <row r="15" spans="1:6" collapsed="1" x14ac:dyDescent="0.3">
      <c r="A15" s="10" t="s">
        <v>226</v>
      </c>
      <c r="B15" s="12">
        <f>SUM(B5:B14)</f>
        <v>4486000</v>
      </c>
      <c r="C15" s="12">
        <f>SUM(C5:C14)</f>
        <v>4472000</v>
      </c>
      <c r="D15" s="12">
        <f>B15-C15</f>
        <v>14000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1395-4DD8-4066-AD5D-4F93C3783A3E}">
  <dimension ref="A1:B6"/>
  <sheetViews>
    <sheetView workbookViewId="0"/>
  </sheetViews>
  <sheetFormatPr defaultRowHeight="14.4" x14ac:dyDescent="0.3"/>
  <cols>
    <col min="1" max="1" width="60.77734375" style="1" customWidth="1"/>
    <col min="2" max="2" width="16.77734375" style="1" customWidth="1"/>
    <col min="3" max="16384" width="8.88671875" style="1"/>
  </cols>
  <sheetData>
    <row r="1" spans="1:2" ht="19.8" x14ac:dyDescent="0.4">
      <c r="A1" s="7" t="s">
        <v>228</v>
      </c>
    </row>
    <row r="2" spans="1:2" x14ac:dyDescent="0.3">
      <c r="A2" s="3" t="s">
        <v>229</v>
      </c>
    </row>
    <row r="4" spans="1:2" x14ac:dyDescent="0.3">
      <c r="A4" s="1" t="s">
        <v>230</v>
      </c>
      <c r="B4" s="11">
        <v>10435000</v>
      </c>
    </row>
    <row r="5" spans="1:2" x14ac:dyDescent="0.3">
      <c r="A5" s="1" t="s">
        <v>231</v>
      </c>
      <c r="B5" s="11">
        <v>485000</v>
      </c>
    </row>
    <row r="6" spans="1:2" x14ac:dyDescent="0.3">
      <c r="A6" s="8" t="s">
        <v>232</v>
      </c>
      <c r="B6" s="20">
        <v>10920000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97B6-67C2-4DC9-99A3-0E1A411264AA}">
  <dimension ref="A1:B5"/>
  <sheetViews>
    <sheetView workbookViewId="0"/>
  </sheetViews>
  <sheetFormatPr defaultRowHeight="14.4" x14ac:dyDescent="0.3"/>
  <cols>
    <col min="1" max="1" width="40.77734375" style="1" customWidth="1"/>
    <col min="2" max="2" width="16.77734375" style="1" customWidth="1"/>
    <col min="3" max="16384" width="8.88671875" style="1"/>
  </cols>
  <sheetData>
    <row r="1" spans="1:2" ht="19.8" x14ac:dyDescent="0.4">
      <c r="A1" s="7" t="s">
        <v>233</v>
      </c>
    </row>
    <row r="2" spans="1:2" x14ac:dyDescent="0.3">
      <c r="A2" s="3" t="s">
        <v>234</v>
      </c>
    </row>
    <row r="4" spans="1:2" x14ac:dyDescent="0.3">
      <c r="A4" s="1" t="s">
        <v>235</v>
      </c>
      <c r="B4" s="11">
        <v>42000000</v>
      </c>
    </row>
    <row r="5" spans="1:2" x14ac:dyDescent="0.3">
      <c r="A5" s="1" t="s">
        <v>236</v>
      </c>
      <c r="B5" s="11">
        <v>23065000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README</vt:lpstr>
      <vt:lpstr>Ledger</vt:lpstr>
      <vt:lpstr>Ageing</vt:lpstr>
      <vt:lpstr>Payroll</vt:lpstr>
      <vt:lpstr>Sales Register</vt:lpstr>
      <vt:lpstr>GST Reco</vt:lpstr>
      <vt:lpstr>_verify</vt:lpstr>
      <vt:lpstr>THE_REAL_TOTAL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2026-10-21T07:44:35Z</dcterms:created>
  <dcterms:modified xsi:type="dcterms:W3CDTF">2026-10-21T07:44:47Z</dcterms:modified>
</cp:coreProperties>
</file>